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drawings/drawing1.xml" ContentType="application/vnd.openxmlformats-officedocument.drawing+xml"/>
  <Override PartName="/xl/charts/chart1.xml" ContentType="application/vnd.openxmlformats-officedocument.drawingml.chart+xml"/>
  <Override PartName="/xl/comments9.xml" ContentType="application/vnd.openxmlformats-officedocument.spreadsheetml.comments+xml"/>
  <Override PartName="/xl/comments10.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https://d.docs.live.net/c20183161846bf14/Felix/"/>
    </mc:Choice>
  </mc:AlternateContent>
  <xr:revisionPtr revIDLastSave="3760" documentId="13_ncr:1_{5B61F55E-74A8-4101-A35B-764304C962E2}" xr6:coauthVersionLast="47" xr6:coauthVersionMax="47" xr10:uidLastSave="{482B92AF-5891-45B3-8EC7-48D69433F408}"/>
  <bookViews>
    <workbookView xWindow="14295" yWindow="0" windowWidth="14610" windowHeight="15585" tabRatio="809" xr2:uid="{00000000-000D-0000-FFFF-FFFF00000000}"/>
  </bookViews>
  <sheets>
    <sheet name="Info" sheetId="3" r:id="rId1"/>
    <sheet name="Red Bull Model" sheetId="12" r:id="rId2"/>
    <sheet name="WACC" sheetId="14" r:id="rId3"/>
    <sheet name="DCF" sheetId="13" r:id="rId4"/>
    <sheet name="Trading_comps" sheetId="10" r:id="rId5"/>
    <sheet name="1" sheetId="5" r:id="rId6"/>
    <sheet name="2" sheetId="25" r:id="rId7"/>
    <sheet name="3" sheetId="30" r:id="rId8"/>
    <sheet name="Transaction_comps" sheetId="15" r:id="rId9"/>
    <sheet name="Valuation_summary" sheetId="17" r:id="rId10"/>
    <sheet name="Synergies" sheetId="16" r:id="rId11"/>
    <sheet name="M&amp;A" sheetId="18" r:id="rId12"/>
    <sheet name="LBO" sheetId="20" r:id="rId13"/>
    <sheet name="Scratchpad" sheetId="28" r:id="rId14"/>
    <sheet name="Factset codes" sheetId="22" state="hidden" r:id="rId15"/>
  </sheets>
  <definedNames>
    <definedName name="_xlnm._FilterDatabase" localSheetId="11" hidden="1">'M&amp;A'!$I$92:$K$94</definedName>
    <definedName name="ANALYSIS_DATE">Trading_comps!$D$4</definedName>
    <definedName name="BETA" localSheetId="5">'1'!$C$20</definedName>
    <definedName name="BETA" localSheetId="6">'2'!$C$20</definedName>
    <definedName name="BETA" localSheetId="7">'3'!$C$20</definedName>
    <definedName name="CASH_AND_ST_INVESTMENTS" localSheetId="5">'1'!$H$8</definedName>
    <definedName name="CASH_AND_ST_INVESTMENTS" localSheetId="6">'2'!$H$8</definedName>
    <definedName name="CASH_AND_ST_INVESTMENTS" localSheetId="7">'3'!$H$8</definedName>
    <definedName name="Circswitch">Info!$N$10</definedName>
    <definedName name="COMP_CALENDARIZE_PERCENTAGES" localSheetId="5">'1'!$I$79:$K$79</definedName>
    <definedName name="COMP_CALENDARIZE_PERCENTAGES" localSheetId="6">'2'!$I$79:$K$79</definedName>
    <definedName name="COMP_CALENDARIZE_PERCENTAGES" localSheetId="7">'3'!$I$79:$K$79</definedName>
    <definedName name="COMP_CALENDARIZE_PERCENTAGES" localSheetId="14">'Factset codes'!$R$64:$V$64</definedName>
    <definedName name="COMP_EQ_VALUE" localSheetId="5">'1'!$H$6</definedName>
    <definedName name="COMP_EQ_VALUE" localSheetId="6">'2'!$H$6</definedName>
    <definedName name="COMP_EQ_VALUE" localSheetId="7">'3'!$H$6</definedName>
    <definedName name="COMP_EQ_VALUE" localSheetId="14">'Factset codes'!$R$10</definedName>
    <definedName name="COMP_EV" localSheetId="5">'1'!$H$10</definedName>
    <definedName name="COMP_EV" localSheetId="6">'2'!$H$10</definedName>
    <definedName name="COMP_EV" localSheetId="7">'3'!$H$10</definedName>
    <definedName name="COMP_EV" localSheetId="14">'Factset codes'!$L$10</definedName>
    <definedName name="COMP_FX" localSheetId="5">'1'!$C$15</definedName>
    <definedName name="COMP_FX" localSheetId="6">'2'!$C$15</definedName>
    <definedName name="COMP_FX" localSheetId="7">'3'!$C$15</definedName>
    <definedName name="COMP_MTR" localSheetId="5">'1'!$C$10</definedName>
    <definedName name="COMP_MTR" localSheetId="6">'2'!$C$10</definedName>
    <definedName name="COMP_MTR" localSheetId="7">'3'!$C$10</definedName>
    <definedName name="Comp_MTR" localSheetId="14">'Factset codes'!$D$19</definedName>
    <definedName name="COMP_SHAREPRICE" localSheetId="5">'1'!$C$16</definedName>
    <definedName name="COMP_SHAREPRICE" localSheetId="6">'2'!$C$16</definedName>
    <definedName name="COMP_SHAREPRICE" localSheetId="7">'3'!$C$16</definedName>
    <definedName name="COMP_SHAREPRICE" localSheetId="14">'Factset codes'!$D$13</definedName>
    <definedName name="COMPANY_NAME" localSheetId="5">'1'!$A$1</definedName>
    <definedName name="COMPANY_NAME" localSheetId="6">'2'!$A$1</definedName>
    <definedName name="COMPANY_NAME" localSheetId="7">'3'!$A$1</definedName>
    <definedName name="CREDIT_RATING" localSheetId="5">'1'!$C$19</definedName>
    <definedName name="CREDIT_RATING" localSheetId="6">'2'!$C$19</definedName>
    <definedName name="CREDIT_RATING" localSheetId="7">'3'!$C$19</definedName>
    <definedName name="DSO" localSheetId="5">'1'!$D$35</definedName>
    <definedName name="DSO" localSheetId="6">'2'!$D$35</definedName>
    <definedName name="DSO" localSheetId="7">'3'!$D$35</definedName>
    <definedName name="EBIT_CY1" localSheetId="5">'1'!$H$16</definedName>
    <definedName name="EBIT_CY1" localSheetId="6">'2'!$H$16</definedName>
    <definedName name="EBIT_CY1" localSheetId="7">'3'!$H$16</definedName>
    <definedName name="EBIT_CY2" localSheetId="5">'1'!$I$16</definedName>
    <definedName name="EBIT_CY2" localSheetId="6">'2'!$I$16</definedName>
    <definedName name="EBIT_CY2" localSheetId="7">'3'!$I$16</definedName>
    <definedName name="EBIT_CY3" localSheetId="5">'1'!$J$16</definedName>
    <definedName name="EBIT_CY3" localSheetId="6">'2'!$J$16</definedName>
    <definedName name="EBIT_CY3" localSheetId="7">'3'!$J$16</definedName>
    <definedName name="EBIT_CY4" localSheetId="5">'1'!$K$16</definedName>
    <definedName name="EBIT_CY4" localSheetId="6">'2'!$K$16</definedName>
    <definedName name="EBIT_CY4" localSheetId="7">'3'!$K$16</definedName>
    <definedName name="EBIT_LTM" localSheetId="5">'1'!$G$16</definedName>
    <definedName name="EBIT_LTM" localSheetId="6">'2'!$G$16</definedName>
    <definedName name="EBIT_LTM" localSheetId="7">'3'!$G$16</definedName>
    <definedName name="EBIT_LTM" localSheetId="14">'Factset codes'!$J$14</definedName>
    <definedName name="EBITDA_CY1" localSheetId="5">'1'!$H$15</definedName>
    <definedName name="EBITDA_CY1" localSheetId="6">'2'!$H$15</definedName>
    <definedName name="EBITDA_CY1" localSheetId="7">'3'!$H$15</definedName>
    <definedName name="EBITDA_CY2" localSheetId="5">'1'!$I$15</definedName>
    <definedName name="EBITDA_CY2" localSheetId="6">'2'!$I$15</definedName>
    <definedName name="EBITDA_CY2" localSheetId="7">'3'!$I$15</definedName>
    <definedName name="EBITDA_CY3" localSheetId="5">'1'!$J$15</definedName>
    <definedName name="EBITDA_CY3" localSheetId="6">'2'!$J$15</definedName>
    <definedName name="EBITDA_CY3" localSheetId="7">'3'!$J$15</definedName>
    <definedName name="EBITDA_CY4" localSheetId="5">'1'!$K$15</definedName>
    <definedName name="EBITDA_CY4" localSheetId="6">'2'!$K$15</definedName>
    <definedName name="EBITDA_CY4" localSheetId="7">'3'!$K$15</definedName>
    <definedName name="EBITDA_LTM" localSheetId="5">'1'!$G$15</definedName>
    <definedName name="EBITDA_LTM" localSheetId="6">'2'!$G$15</definedName>
    <definedName name="EBITDA_LTM" localSheetId="7">'3'!$G$15</definedName>
    <definedName name="EBITDA_LTM" localSheetId="14">'Factset codes'!$J$13</definedName>
    <definedName name="EBITDAR_CY1" localSheetId="5">'1'!$I$67</definedName>
    <definedName name="EBITDAR_CY1" localSheetId="6">'2'!$I$67</definedName>
    <definedName name="EBITDAR_CY1" localSheetId="7">'3'!$I$67</definedName>
    <definedName name="EBITDAR_CY2" localSheetId="5">'1'!$J$67</definedName>
    <definedName name="EBITDAR_CY2" localSheetId="6">'2'!$J$67</definedName>
    <definedName name="EBITDAR_CY2" localSheetId="7">'3'!$J$67</definedName>
    <definedName name="EBITDAR_CY3" localSheetId="5">'1'!$K$67</definedName>
    <definedName name="EBITDAR_CY3" localSheetId="6">'2'!$K$67</definedName>
    <definedName name="EBITDAR_CY3" localSheetId="7">'3'!$K$67</definedName>
    <definedName name="EBITDAR_LTM" localSheetId="5">'1'!$G$67</definedName>
    <definedName name="EBITDAR_LTM" localSheetId="6">'2'!$G$67</definedName>
    <definedName name="EBITDAR_LTM" localSheetId="7">'3'!$G$67</definedName>
    <definedName name="EBITR_CY1" localSheetId="5">'1'!$I$68</definedName>
    <definedName name="EBITR_CY1" localSheetId="6">'2'!$I$68</definedName>
    <definedName name="EBITR_CY1" localSheetId="7">'3'!$I$68</definedName>
    <definedName name="EBITR_CY2" localSheetId="5">'1'!$J$68</definedName>
    <definedName name="EBITR_CY2" localSheetId="6">'2'!$J$68</definedName>
    <definedName name="EBITR_CY2" localSheetId="7">'3'!$J$68</definedName>
    <definedName name="EBITR_CY3" localSheetId="5">'1'!$K$68</definedName>
    <definedName name="EBITR_CY3" localSheetId="6">'2'!$K$68</definedName>
    <definedName name="EBITR_CY3" localSheetId="7">'3'!$K$68</definedName>
    <definedName name="EBITR_LTM" localSheetId="5">'1'!$G$68</definedName>
    <definedName name="EBITR_LTM" localSheetId="6">'2'!$G$68</definedName>
    <definedName name="EBITR_LTM" localSheetId="7">'3'!$G$68</definedName>
    <definedName name="EPS_5YR_GROWTH" localSheetId="5">'1'!$C$21</definedName>
    <definedName name="EPS_5YR_GROWTH" localSheetId="6">'2'!$C$21</definedName>
    <definedName name="EPS_5YR_GROWTH" localSheetId="7">'3'!$C$21</definedName>
    <definedName name="EPS_CY1" localSheetId="5">'1'!$H$17</definedName>
    <definedName name="EPS_CY1" localSheetId="6">'2'!$H$17</definedName>
    <definedName name="EPS_CY1" localSheetId="7">'3'!$H$17</definedName>
    <definedName name="EPS_CY2" localSheetId="5">'1'!$I$17</definedName>
    <definedName name="EPS_CY2" localSheetId="6">'2'!$I$17</definedName>
    <definedName name="EPS_CY2" localSheetId="7">'3'!$I$17</definedName>
    <definedName name="EPS_CY3" localSheetId="5">'1'!$J$17</definedName>
    <definedName name="EPS_CY3" localSheetId="6">'2'!$J$17</definedName>
    <definedName name="EPS_CY3" localSheetId="7">'3'!$J$17</definedName>
    <definedName name="EPS_CY4" localSheetId="5">'1'!$K$17</definedName>
    <definedName name="EPS_CY4" localSheetId="6">'2'!$K$17</definedName>
    <definedName name="EPS_CY4" localSheetId="7">'3'!$K$17</definedName>
    <definedName name="EV_EBIT_CY1" localSheetId="5">'1'!$H$23</definedName>
    <definedName name="EV_EBIT_CY1" localSheetId="6">'2'!$H$23</definedName>
    <definedName name="EV_EBIT_CY1" localSheetId="7">'3'!$H$23</definedName>
    <definedName name="EV_EBIT_CY1" localSheetId="14">'Factset codes'!$L$21</definedName>
    <definedName name="EV_EBIT_CY2" localSheetId="5">'1'!$I$23</definedName>
    <definedName name="EV_EBIT_CY2" localSheetId="6">'2'!$I$23</definedName>
    <definedName name="EV_EBIT_CY2" localSheetId="7">'3'!$I$23</definedName>
    <definedName name="EV_EBIT_CY2" localSheetId="14">'Factset codes'!$N$21</definedName>
    <definedName name="EV_EBIT_CY3" localSheetId="5">'1'!$J$23</definedName>
    <definedName name="EV_EBIT_CY3" localSheetId="6">'2'!$J$23</definedName>
    <definedName name="EV_EBIT_CY3" localSheetId="7">'3'!$J$23</definedName>
    <definedName name="EV_EBIT_CY3" localSheetId="14">'Factset codes'!$P$21</definedName>
    <definedName name="EV_EBIT_CY4" localSheetId="5">'1'!$K$23</definedName>
    <definedName name="EV_EBIT_CY4" localSheetId="6">'2'!$K$23</definedName>
    <definedName name="EV_EBIT_CY4" localSheetId="7">'3'!$K$23</definedName>
    <definedName name="EV_EBIT_CY4" localSheetId="14">'Factset codes'!$R$21</definedName>
    <definedName name="EV_EBIT_LTM" localSheetId="5">'1'!$G$23</definedName>
    <definedName name="EV_EBIT_LTM" localSheetId="6">'2'!$G$23</definedName>
    <definedName name="EV_EBIT_LTM" localSheetId="7">'3'!$G$23</definedName>
    <definedName name="EV_EBIT_LTM" localSheetId="14">'Factset codes'!$J$21</definedName>
    <definedName name="EV_EBITDA_CY1" localSheetId="5">'1'!$H$22</definedName>
    <definedName name="EV_EBITDA_CY1" localSheetId="6">'2'!$H$22</definedName>
    <definedName name="EV_EBITDA_CY1" localSheetId="7">'3'!$H$22</definedName>
    <definedName name="EV_EBITDA_CY1" localSheetId="14">'Factset codes'!$L$20</definedName>
    <definedName name="EV_EBITDA_CY2" localSheetId="5">'1'!$I$22</definedName>
    <definedName name="EV_EBITDA_CY2" localSheetId="6">'2'!$I$22</definedName>
    <definedName name="EV_EBITDA_CY2" localSheetId="7">'3'!$I$22</definedName>
    <definedName name="EV_EBITDA_CY2" localSheetId="14">'Factset codes'!$N$20</definedName>
    <definedName name="EV_EBITDA_CY3" localSheetId="5">'1'!$J$22</definedName>
    <definedName name="EV_EBITDA_CY3" localSheetId="6">'2'!$J$22</definedName>
    <definedName name="EV_EBITDA_CY3" localSheetId="7">'3'!$J$22</definedName>
    <definedName name="EV_EBITDA_CY3" localSheetId="14">'Factset codes'!$P$20</definedName>
    <definedName name="EV_EBITDA_CY4" localSheetId="5">'1'!$K$22</definedName>
    <definedName name="EV_EBITDA_CY4" localSheetId="6">'2'!$K$22</definedName>
    <definedName name="EV_EBITDA_CY4" localSheetId="7">'3'!$K$22</definedName>
    <definedName name="EV_EBITDA_CY4" localSheetId="14">'Factset codes'!$R$20</definedName>
    <definedName name="EV_EBITDA_LMT" localSheetId="5">'1'!$G$22</definedName>
    <definedName name="EV_EBITDA_LMT" localSheetId="6">'2'!$G$22</definedName>
    <definedName name="EV_EBITDA_LMT" localSheetId="7">'3'!$G$22</definedName>
    <definedName name="EV_EBITDA_LMT" localSheetId="14">'Factset codes'!$J$20</definedName>
    <definedName name="EV_REVENUE_CY1" localSheetId="5">'1'!$H$21</definedName>
    <definedName name="EV_REVENUE_CY1" localSheetId="6">'2'!$H$21</definedName>
    <definedName name="EV_REVENUE_CY1" localSheetId="7">'3'!$H$21</definedName>
    <definedName name="EV_REVENUE_CY1" localSheetId="14">'Factset codes'!$L$19</definedName>
    <definedName name="EV_REVENUE_CY2" localSheetId="5">'1'!$I$21</definedName>
    <definedName name="EV_REVENUE_CY2" localSheetId="6">'2'!$I$21</definedName>
    <definedName name="EV_REVENUE_CY2" localSheetId="7">'3'!$I$21</definedName>
    <definedName name="EV_REVENUE_CY2" localSheetId="14">'Factset codes'!$N$19</definedName>
    <definedName name="EV_REVENUE_CY3" localSheetId="5">'1'!$J$21</definedName>
    <definedName name="EV_REVENUE_CY3" localSheetId="6">'2'!$J$21</definedName>
    <definedName name="EV_REVENUE_CY3" localSheetId="7">'3'!$J$21</definedName>
    <definedName name="EV_REVENUE_CY3" localSheetId="14">'Factset codes'!$P$19</definedName>
    <definedName name="EV_REVENUE_CY4" localSheetId="5">'1'!$K$21</definedName>
    <definedName name="EV_REVENUE_CY4" localSheetId="6">'2'!$K$21</definedName>
    <definedName name="EV_REVENUE_CY4" localSheetId="7">'3'!$K$21</definedName>
    <definedName name="EV_REVENUE_CY4" localSheetId="14">'Factset codes'!$R$19</definedName>
    <definedName name="EV_REVENUE_LTM" localSheetId="5">'1'!$G$21</definedName>
    <definedName name="EV_REVENUE_LTM" localSheetId="6">'2'!$G$21</definedName>
    <definedName name="EV_REVENUE_LTM" localSheetId="7">'3'!$G$21</definedName>
    <definedName name="EV_REVENUE_LTM" localSheetId="14">'Factset codes'!$J$19</definedName>
    <definedName name="EVR" localSheetId="5">'1'!$G$71</definedName>
    <definedName name="EVR" localSheetId="6">'2'!$G$71</definedName>
    <definedName name="EVR" localSheetId="7">'3'!$G$71</definedName>
    <definedName name="FCF_LTM" localSheetId="5">'1'!$G$17</definedName>
    <definedName name="FCF_LTM" localSheetId="6">'2'!$G$17</definedName>
    <definedName name="FCF_LTM" localSheetId="7">'3'!$G$17</definedName>
    <definedName name="FCF_LTM" localSheetId="14">'Factset codes'!$J$15</definedName>
    <definedName name="FX">'M&amp;A'!$C$8</definedName>
    <definedName name="GROSS_DEBT_LTM_EBITDA" localSheetId="5">'1'!$G$26</definedName>
    <definedName name="GROSS_DEBT_LTM_EBITDA" localSheetId="6">'2'!$G$26</definedName>
    <definedName name="GROSS_DEBT_LTM_EBITDA" localSheetId="7">'3'!$G$26</definedName>
    <definedName name="GROSS_DEBT_LTM_EBITDA" localSheetId="14">#REF!</definedName>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 name="ltg">DCF!$H$28</definedName>
    <definedName name="MAIN_CURRENCY">Trading_comps!$D$3</definedName>
    <definedName name="OTHER_ADJUSTMENTS" localSheetId="5">'1'!$H$9</definedName>
    <definedName name="OTHER_ADJUSTMENTS" localSheetId="6">'2'!$H$9</definedName>
    <definedName name="OTHER_ADJUSTMENTS" localSheetId="7">'3'!$H$9</definedName>
    <definedName name="P_BV" localSheetId="5">'1'!$G$25</definedName>
    <definedName name="P_BV" localSheetId="6">'2'!$G$25</definedName>
    <definedName name="P_BV" localSheetId="7">'3'!$G$25</definedName>
    <definedName name="P_BV" localSheetId="14">#REF!</definedName>
    <definedName name="PE_CY1" localSheetId="5">'1'!$H$24</definedName>
    <definedName name="PE_CY1" localSheetId="6">'2'!$H$24</definedName>
    <definedName name="PE_CY1" localSheetId="7">'3'!$H$24</definedName>
    <definedName name="PE_CY1" localSheetId="14">'Factset codes'!$L$22</definedName>
    <definedName name="PE_CY2" localSheetId="5">'1'!$I$24</definedName>
    <definedName name="PE_CY2" localSheetId="6">'2'!$I$24</definedName>
    <definedName name="PE_CY2" localSheetId="7">'3'!$I$24</definedName>
    <definedName name="PE_CY2" localSheetId="14">'Factset codes'!$N$22</definedName>
    <definedName name="PE_CY3" localSheetId="5">'1'!$J$24</definedName>
    <definedName name="PE_CY3" localSheetId="6">'2'!$J$24</definedName>
    <definedName name="PE_CY3" localSheetId="7">'3'!$J$24</definedName>
    <definedName name="PE_CY3" localSheetId="14">'Factset codes'!$P$22</definedName>
    <definedName name="PE_CY4" localSheetId="5">'1'!$K$24</definedName>
    <definedName name="PE_CY4" localSheetId="6">'2'!$K$24</definedName>
    <definedName name="PE_CY4" localSheetId="7">'3'!$K$24</definedName>
    <definedName name="PE_CY4" localSheetId="14">'Factset codes'!$R$22</definedName>
    <definedName name="_xlnm.Print_Area" localSheetId="5">'1'!$A$1:$V$83</definedName>
    <definedName name="_xlnm.Print_Area" localSheetId="6">'2'!$A$1:$V$83</definedName>
    <definedName name="_xlnm.Print_Area" localSheetId="7">'3'!$A$1:$V$83</definedName>
    <definedName name="_xlnm.Print_Area" localSheetId="3">DCF!$A$1:$S$80</definedName>
    <definedName name="_xlnm.Print_Area" localSheetId="0">Info!$A$1:$R$29</definedName>
    <definedName name="_xlnm.Print_Area" localSheetId="12">LBO!$A$1:$P$109</definedName>
    <definedName name="_xlnm.Print_Area" localSheetId="11">'M&amp;A'!$A$1:$Q$150</definedName>
    <definedName name="_xlnm.Print_Area" localSheetId="1">'Red Bull Model'!$A$1:$P$141</definedName>
    <definedName name="_xlnm.Print_Area" localSheetId="13">Scratchpad!$A$1:$P$43</definedName>
    <definedName name="_xlnm.Print_Area" localSheetId="10">Synergies!$A$1:$K$32</definedName>
    <definedName name="_xlnm.Print_Area" localSheetId="4">Trading_comps!$A$1:$BH$55</definedName>
    <definedName name="_xlnm.Print_Area" localSheetId="8">Transaction_comps!$A$1:$Q$52</definedName>
    <definedName name="_xlnm.Print_Area" localSheetId="9">Valuation_summary!$A$1:$K$79</definedName>
    <definedName name="_xlnm.Print_Area" localSheetId="2">WACC!$A$1:$O$33</definedName>
    <definedName name="_xlnm.Print_Titles" localSheetId="3">DCF!$1:$3</definedName>
    <definedName name="_xlnm.Print_Titles" localSheetId="12">LBO!$1:$3</definedName>
    <definedName name="_xlnm.Print_Titles" localSheetId="1">'Red Bull Model'!$1:$3</definedName>
    <definedName name="_xlnm.Print_Titles" localSheetId="8">Transaction_comps!$1:$4</definedName>
    <definedName name="ROIC" localSheetId="5">'1'!$C$23</definedName>
    <definedName name="ROIC" localSheetId="6">'2'!$C$23</definedName>
    <definedName name="ROIC" localSheetId="7">'3'!$C$23</definedName>
    <definedName name="SALES_CY1" localSheetId="5">'1'!$H$14</definedName>
    <definedName name="SALES_CY1" localSheetId="6">'2'!$H$14</definedName>
    <definedName name="SALES_CY1" localSheetId="7">'3'!$H$14</definedName>
    <definedName name="SALES_CY2" localSheetId="5">'1'!$I$14</definedName>
    <definedName name="SALES_CY2" localSheetId="6">'2'!$I$14</definedName>
    <definedName name="SALES_CY2" localSheetId="7">'3'!$I$14</definedName>
    <definedName name="SALES_CY3" localSheetId="5">'1'!$J$14</definedName>
    <definedName name="SALES_CY3" localSheetId="6">'2'!$J$14</definedName>
    <definedName name="SALES_CY3" localSheetId="7">'3'!$J$14</definedName>
    <definedName name="SALES_CY4" localSheetId="5">'1'!$K$14</definedName>
    <definedName name="SALES_CY4" localSheetId="6">'2'!$K$14</definedName>
    <definedName name="SALES_CY4" localSheetId="7">'3'!$K$14</definedName>
    <definedName name="SALES_LTM" localSheetId="5">'1'!$G$14</definedName>
    <definedName name="SALES_LTM" localSheetId="6">'2'!$G$14</definedName>
    <definedName name="SALES_LTM" localSheetId="7">'3'!$G$14</definedName>
    <definedName name="SALES_LTM" localSheetId="14">'Factset codes'!$J$12</definedName>
    <definedName name="SHAREPRICE_HIGH" localSheetId="5">'1'!$C$18</definedName>
    <definedName name="SHAREPRICE_HIGH" localSheetId="6">'2'!$C$18</definedName>
    <definedName name="SHAREPRICE_HIGH" localSheetId="7">'3'!$C$18</definedName>
    <definedName name="SHAREPRICE_LOW" localSheetId="5">'1'!$C$17</definedName>
    <definedName name="SHAREPRICE_LOW" localSheetId="6">'2'!$C$17</definedName>
    <definedName name="SHAREPRICE_LOW" localSheetId="7">'3'!$C$17</definedName>
    <definedName name="TICKER" localSheetId="5">'1'!$C$5</definedName>
    <definedName name="TICKER" localSheetId="6">'2'!$C$5</definedName>
    <definedName name="TICKER" localSheetId="7">'3'!$C$5</definedName>
    <definedName name="TOTAL_DEBT" localSheetId="5">'1'!$H$7</definedName>
    <definedName name="TOTAL_DEBT" localSheetId="6">'2'!$H$7</definedName>
    <definedName name="TOTAL_DEBT" localSheetId="7">'3'!$H$7</definedName>
    <definedName name="WACC">DCF!$H$29</definedName>
  </definedNames>
  <calcPr calcId="191028"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 i="12" l="1"/>
  <c r="C3" i="12"/>
  <c r="D3" i="12"/>
  <c r="E3" i="12"/>
  <c r="F3" i="12"/>
  <c r="G3" i="12"/>
  <c r="I11" i="14"/>
  <c r="E52" i="17"/>
  <c r="C52" i="17"/>
  <c r="D42" i="17"/>
  <c r="C42" i="17"/>
  <c r="D41" i="17"/>
  <c r="C41" i="17"/>
  <c r="H7" i="20" l="1"/>
  <c r="D23" i="18" l="1"/>
  <c r="E23" i="18"/>
  <c r="F23" i="18"/>
  <c r="C23" i="18"/>
  <c r="D22" i="18"/>
  <c r="E22" i="18"/>
  <c r="F22" i="18"/>
  <c r="C22" i="18"/>
  <c r="D21" i="18"/>
  <c r="E21" i="18"/>
  <c r="F21" i="18"/>
  <c r="C21" i="18"/>
  <c r="D11" i="17"/>
  <c r="E11" i="17"/>
  <c r="C11" i="17"/>
  <c r="D10" i="17"/>
  <c r="E10" i="17"/>
  <c r="C10" i="17"/>
  <c r="H9" i="16"/>
  <c r="H6" i="16"/>
  <c r="J2" i="16"/>
  <c r="K2" i="16"/>
  <c r="D18" i="14"/>
  <c r="D40" i="15"/>
  <c r="D39" i="15"/>
  <c r="AK37" i="10"/>
  <c r="AY23" i="10"/>
  <c r="J53" i="30"/>
  <c r="K53" i="30"/>
  <c r="I53" i="30"/>
  <c r="C53" i="30"/>
  <c r="J31" i="30"/>
  <c r="C13" i="30"/>
  <c r="E5" i="25"/>
  <c r="C7" i="25"/>
  <c r="H7" i="25"/>
  <c r="C8" i="25"/>
  <c r="I13" i="25" s="1"/>
  <c r="I20" i="25" s="1"/>
  <c r="C9" i="25"/>
  <c r="H9" i="25"/>
  <c r="C13" i="25"/>
  <c r="G60" i="25" s="1"/>
  <c r="E13" i="25"/>
  <c r="G20" i="25"/>
  <c r="P30" i="25"/>
  <c r="J31" i="25"/>
  <c r="H8" i="25" s="1"/>
  <c r="P31" i="25"/>
  <c r="P32" i="25"/>
  <c r="P33" i="25"/>
  <c r="P34" i="25"/>
  <c r="P35" i="25"/>
  <c r="P36" i="25"/>
  <c r="P37" i="25"/>
  <c r="G39" i="25"/>
  <c r="C43" i="25"/>
  <c r="H43" i="25"/>
  <c r="I43" i="25"/>
  <c r="J43" i="25" s="1"/>
  <c r="K43" i="25" s="1"/>
  <c r="L43" i="25" s="1"/>
  <c r="G44" i="25"/>
  <c r="G14" i="25" s="1"/>
  <c r="H44" i="25"/>
  <c r="C53" i="25"/>
  <c r="H53" i="25" s="1"/>
  <c r="D53" i="25"/>
  <c r="G53" i="25" s="1"/>
  <c r="G16" i="25" s="1"/>
  <c r="E53" i="25"/>
  <c r="F53" i="25"/>
  <c r="I53" i="25"/>
  <c r="J53" i="25"/>
  <c r="K53" i="25"/>
  <c r="C54" i="25"/>
  <c r="D54" i="25"/>
  <c r="D55" i="25" s="1"/>
  <c r="D63" i="25" s="1"/>
  <c r="E54" i="25"/>
  <c r="E55" i="25"/>
  <c r="E63" i="25" s="1"/>
  <c r="C59" i="25"/>
  <c r="D59" i="25"/>
  <c r="E59" i="25"/>
  <c r="F59" i="25"/>
  <c r="G59" i="25"/>
  <c r="H59" i="25"/>
  <c r="I59" i="25"/>
  <c r="J59" i="25"/>
  <c r="K59" i="25"/>
  <c r="L59" i="25"/>
  <c r="C60" i="25"/>
  <c r="H60" i="25" s="1"/>
  <c r="D60" i="25"/>
  <c r="E60" i="25"/>
  <c r="G62" i="25"/>
  <c r="H62" i="25"/>
  <c r="I62" i="25"/>
  <c r="I63" i="25" s="1"/>
  <c r="E64" i="25"/>
  <c r="G65" i="25"/>
  <c r="G69" i="25" s="1"/>
  <c r="B67" i="25"/>
  <c r="B68" i="25"/>
  <c r="B69" i="25"/>
  <c r="B71" i="25"/>
  <c r="G78" i="25"/>
  <c r="G79" i="25"/>
  <c r="H81" i="25"/>
  <c r="I81" i="25"/>
  <c r="J81" i="25"/>
  <c r="K81" i="25"/>
  <c r="L81" i="25"/>
  <c r="BG15" i="10"/>
  <c r="BD15" i="10" s="1"/>
  <c r="BB15" i="10"/>
  <c r="BC15" i="10"/>
  <c r="AY15" i="10"/>
  <c r="T17" i="10"/>
  <c r="U17" i="10"/>
  <c r="S17" i="10"/>
  <c r="T15" i="10"/>
  <c r="U15" i="10"/>
  <c r="AO15" i="10" s="1"/>
  <c r="S15" i="10"/>
  <c r="T18" i="10"/>
  <c r="U18" i="10"/>
  <c r="S18" i="10"/>
  <c r="S16" i="10"/>
  <c r="T16" i="10"/>
  <c r="U16" i="10"/>
  <c r="T14" i="10"/>
  <c r="U14" i="10"/>
  <c r="S14" i="10"/>
  <c r="J16" i="10"/>
  <c r="I18" i="10"/>
  <c r="J18" i="10"/>
  <c r="J17" i="10"/>
  <c r="I17" i="10"/>
  <c r="J14" i="10"/>
  <c r="M17" i="10"/>
  <c r="L17" i="10"/>
  <c r="K17" i="10"/>
  <c r="H15" i="10"/>
  <c r="AI15" i="10" s="1"/>
  <c r="G15" i="10"/>
  <c r="E17" i="10"/>
  <c r="D17" i="10"/>
  <c r="E15" i="10"/>
  <c r="D15" i="10"/>
  <c r="L9" i="10"/>
  <c r="P9" i="10" s="1"/>
  <c r="D12" i="10" a="1"/>
  <c r="C12" i="10" a="1"/>
  <c r="AG15" i="10" l="1"/>
  <c r="F15" i="10"/>
  <c r="AF15" i="10"/>
  <c r="AE15" i="10"/>
  <c r="J15" i="10"/>
  <c r="AN15" i="10"/>
  <c r="AM15" i="10"/>
  <c r="K13" i="25"/>
  <c r="K20" i="25" s="1"/>
  <c r="H13" i="25"/>
  <c r="H20" i="25" s="1"/>
  <c r="AK15" i="10"/>
  <c r="AJ15" i="10"/>
  <c r="K79" i="25"/>
  <c r="G43" i="25"/>
  <c r="I79" i="25"/>
  <c r="D64" i="25"/>
  <c r="I64" i="25"/>
  <c r="C64" i="25"/>
  <c r="J39" i="25"/>
  <c r="D38" i="25" s="1"/>
  <c r="D39" i="25" s="1"/>
  <c r="C23" i="25" s="1"/>
  <c r="G54" i="25"/>
  <c r="J13" i="25"/>
  <c r="J20" i="25" s="1"/>
  <c r="P38" i="25"/>
  <c r="D34" i="25" s="1"/>
  <c r="D35" i="25" s="1"/>
  <c r="D36" i="25" s="1"/>
  <c r="H6" i="25" s="1"/>
  <c r="H10" i="25" s="1"/>
  <c r="J62" i="25"/>
  <c r="J64" i="25" s="1"/>
  <c r="C55" i="25"/>
  <c r="H54" i="25"/>
  <c r="C22" i="25"/>
  <c r="I60" i="25"/>
  <c r="J60" i="25" s="1"/>
  <c r="K60" i="25" s="1"/>
  <c r="L60" i="25" s="1"/>
  <c r="AJ9" i="10"/>
  <c r="T9" i="10"/>
  <c r="AN9" i="10" s="1"/>
  <c r="X9" i="10"/>
  <c r="AB9" i="10" s="1"/>
  <c r="AF9" i="10"/>
  <c r="D12" i="10"/>
  <c r="C12" i="10"/>
  <c r="J79" i="25" l="1"/>
  <c r="I80" i="25" s="1"/>
  <c r="H17" i="25" s="1"/>
  <c r="H24" i="25" s="1"/>
  <c r="G25" i="25"/>
  <c r="H64" i="25"/>
  <c r="G64" i="25"/>
  <c r="G68" i="25" s="1"/>
  <c r="G21" i="25"/>
  <c r="G23" i="25"/>
  <c r="J80" i="25"/>
  <c r="L80" i="25"/>
  <c r="K80" i="25"/>
  <c r="H55" i="25"/>
  <c r="C63" i="25"/>
  <c r="G55" i="25"/>
  <c r="G15" i="25" s="1"/>
  <c r="G71" i="25"/>
  <c r="G73" i="25" s="1"/>
  <c r="J63" i="25"/>
  <c r="K62" i="25"/>
  <c r="H15" i="25" l="1"/>
  <c r="H22" i="25" s="1"/>
  <c r="H14" i="25"/>
  <c r="H21" i="25" s="1"/>
  <c r="I68" i="25"/>
  <c r="I73" i="25" s="1"/>
  <c r="H16" i="25"/>
  <c r="H23" i="25" s="1"/>
  <c r="J17" i="25"/>
  <c r="J24" i="25" s="1"/>
  <c r="K68" i="25"/>
  <c r="K73" i="25" s="1"/>
  <c r="K67" i="25"/>
  <c r="K72" i="25" s="1"/>
  <c r="J15" i="25"/>
  <c r="J22" i="25" s="1"/>
  <c r="J16" i="25"/>
  <c r="J23" i="25" s="1"/>
  <c r="J14" i="25"/>
  <c r="J21" i="25" s="1"/>
  <c r="I16" i="25"/>
  <c r="I23" i="25" s="1"/>
  <c r="I14" i="25"/>
  <c r="I21" i="25" s="1"/>
  <c r="I15" i="25"/>
  <c r="I22" i="25" s="1"/>
  <c r="I17" i="25"/>
  <c r="I24" i="25" s="1"/>
  <c r="J67" i="25"/>
  <c r="J72" i="25" s="1"/>
  <c r="G26" i="25"/>
  <c r="G22" i="25"/>
  <c r="K15" i="25"/>
  <c r="K22" i="25" s="1"/>
  <c r="K16" i="25"/>
  <c r="K23" i="25" s="1"/>
  <c r="K14" i="25"/>
  <c r="K21" i="25" s="1"/>
  <c r="K17" i="25"/>
  <c r="K24" i="25" s="1"/>
  <c r="K64" i="25"/>
  <c r="J68" i="25" s="1"/>
  <c r="J73" i="25" s="1"/>
  <c r="K63" i="25"/>
  <c r="G63" i="25"/>
  <c r="G67" i="25" s="1"/>
  <c r="G72" i="25" s="1"/>
  <c r="H63" i="25"/>
  <c r="I67" i="25" s="1"/>
  <c r="I72" i="25" s="1"/>
  <c r="J53" i="5" l="1"/>
  <c r="K53" i="5"/>
  <c r="I53" i="5"/>
  <c r="J31" i="5"/>
  <c r="L81" i="30"/>
  <c r="K81" i="30"/>
  <c r="J81" i="30"/>
  <c r="I81" i="30"/>
  <c r="G78" i="30"/>
  <c r="B71" i="30"/>
  <c r="G69" i="30"/>
  <c r="B69" i="30"/>
  <c r="B68" i="30"/>
  <c r="B67" i="30"/>
  <c r="H62" i="30"/>
  <c r="G62" i="30"/>
  <c r="E60" i="30"/>
  <c r="D60" i="30"/>
  <c r="L59" i="30"/>
  <c r="K59" i="30"/>
  <c r="J59" i="30"/>
  <c r="I59" i="30"/>
  <c r="H59" i="30"/>
  <c r="G59" i="30"/>
  <c r="F59" i="30"/>
  <c r="E59" i="30"/>
  <c r="D59" i="30"/>
  <c r="C59" i="30"/>
  <c r="H54" i="30"/>
  <c r="G54" i="30"/>
  <c r="F53" i="30"/>
  <c r="E53" i="30"/>
  <c r="E64" i="30" s="1"/>
  <c r="D53" i="30"/>
  <c r="D64" i="30" s="1"/>
  <c r="C64" i="30"/>
  <c r="H44" i="30"/>
  <c r="H81" i="30" s="1"/>
  <c r="G44" i="30"/>
  <c r="G14" i="30" s="1"/>
  <c r="C43" i="30"/>
  <c r="I43" i="30" s="1"/>
  <c r="J43" i="30" s="1"/>
  <c r="K43" i="30" s="1"/>
  <c r="L43" i="30" s="1"/>
  <c r="J39" i="30"/>
  <c r="G39" i="30"/>
  <c r="P37" i="30"/>
  <c r="P36" i="30"/>
  <c r="P35" i="30"/>
  <c r="P34" i="30"/>
  <c r="P33" i="30"/>
  <c r="P32" i="30"/>
  <c r="P31" i="30"/>
  <c r="P30" i="30"/>
  <c r="G20" i="30"/>
  <c r="E13" i="30"/>
  <c r="G43" i="30"/>
  <c r="H9" i="30"/>
  <c r="C9" i="30"/>
  <c r="H8" i="30"/>
  <c r="C8" i="30"/>
  <c r="G79" i="30" s="1"/>
  <c r="H7" i="30"/>
  <c r="C7" i="30"/>
  <c r="E5" i="30"/>
  <c r="C8" i="5"/>
  <c r="P27" i="20"/>
  <c r="P2" i="20"/>
  <c r="P9" i="13"/>
  <c r="P2" i="13"/>
  <c r="P81" i="12"/>
  <c r="P106" i="12" s="1"/>
  <c r="P67" i="12"/>
  <c r="G127" i="12"/>
  <c r="H127" i="12"/>
  <c r="H14" i="12"/>
  <c r="G14" i="12"/>
  <c r="H55" i="12"/>
  <c r="G55" i="12"/>
  <c r="H11" i="12"/>
  <c r="G11" i="12"/>
  <c r="H10" i="12"/>
  <c r="G10" i="12"/>
  <c r="H9" i="12"/>
  <c r="G9" i="12"/>
  <c r="H8" i="12"/>
  <c r="G8" i="12"/>
  <c r="H53" i="12"/>
  <c r="H52" i="12"/>
  <c r="H51" i="12"/>
  <c r="H50" i="12"/>
  <c r="G53" i="12"/>
  <c r="G52" i="12"/>
  <c r="G51" i="12"/>
  <c r="G50" i="12"/>
  <c r="E13" i="10"/>
  <c r="D13" i="10" a="1"/>
  <c r="BF13" i="10"/>
  <c r="C13" i="10" a="1"/>
  <c r="K13" i="10"/>
  <c r="BG13" i="10"/>
  <c r="BH13" i="10"/>
  <c r="BE13" i="10"/>
  <c r="AZ13" i="10"/>
  <c r="I9" i="14" l="1"/>
  <c r="P38" i="30"/>
  <c r="D34" i="30" s="1"/>
  <c r="D35" i="30" s="1"/>
  <c r="D36" i="30" s="1"/>
  <c r="G25" i="30" s="1"/>
  <c r="H13" i="30"/>
  <c r="H20" i="30" s="1"/>
  <c r="J13" i="30"/>
  <c r="J20" i="30" s="1"/>
  <c r="D13" i="10"/>
  <c r="C13" i="10"/>
  <c r="E55" i="30"/>
  <c r="E63" i="30" s="1"/>
  <c r="G53" i="30"/>
  <c r="G16" i="30" s="1"/>
  <c r="H53" i="30"/>
  <c r="I62" i="30"/>
  <c r="I63" i="30" s="1"/>
  <c r="D38" i="30"/>
  <c r="D39" i="30" s="1"/>
  <c r="H43" i="30"/>
  <c r="K79" i="30"/>
  <c r="I79" i="30"/>
  <c r="H64" i="30"/>
  <c r="G64" i="30"/>
  <c r="G68" i="30" s="1"/>
  <c r="I13" i="30"/>
  <c r="I20" i="30" s="1"/>
  <c r="K13" i="30"/>
  <c r="K20" i="30" s="1"/>
  <c r="C55" i="30"/>
  <c r="G60" i="30"/>
  <c r="D55" i="30"/>
  <c r="D63" i="30" s="1"/>
  <c r="C60" i="30"/>
  <c r="B113" i="18"/>
  <c r="B114" i="18" s="1"/>
  <c r="B115" i="18" s="1"/>
  <c r="B116" i="18" s="1"/>
  <c r="B117" i="18" s="1"/>
  <c r="B118" i="18" s="1"/>
  <c r="B119" i="18" s="1"/>
  <c r="B120" i="18" s="1"/>
  <c r="B121" i="18" s="1"/>
  <c r="B122" i="18" s="1"/>
  <c r="E81" i="18"/>
  <c r="E32" i="18"/>
  <c r="F32" i="18"/>
  <c r="D32" i="18"/>
  <c r="C42" i="18"/>
  <c r="M64" i="18" s="1"/>
  <c r="M16" i="18"/>
  <c r="M15" i="18"/>
  <c r="C16" i="18"/>
  <c r="C15" i="18"/>
  <c r="H36" i="18" s="1"/>
  <c r="E51" i="18" s="1"/>
  <c r="C14" i="18"/>
  <c r="C37" i="18" s="1"/>
  <c r="C99" i="18" s="1"/>
  <c r="C13" i="18"/>
  <c r="C17" i="18" s="1"/>
  <c r="C135" i="18" s="1"/>
  <c r="M8" i="18"/>
  <c r="M7" i="18"/>
  <c r="M14" i="18"/>
  <c r="N21" i="18"/>
  <c r="O21" i="18"/>
  <c r="P21" i="18"/>
  <c r="N22" i="18"/>
  <c r="D41" i="18" s="1"/>
  <c r="O22" i="18"/>
  <c r="E41" i="18" s="1"/>
  <c r="P22" i="18"/>
  <c r="F41" i="18" s="1"/>
  <c r="O23" i="18"/>
  <c r="P23" i="18"/>
  <c r="N24" i="18"/>
  <c r="D58" i="18" s="1"/>
  <c r="O24" i="18"/>
  <c r="E58" i="18" s="1"/>
  <c r="P24" i="18"/>
  <c r="F58" i="18" s="1"/>
  <c r="C10" i="18"/>
  <c r="S13" i="10"/>
  <c r="AA13" i="10"/>
  <c r="C122" i="18" l="1"/>
  <c r="C121" i="18"/>
  <c r="C119" i="18"/>
  <c r="C114" i="18"/>
  <c r="D114" i="18" s="1"/>
  <c r="C113" i="18"/>
  <c r="D113" i="18" s="1"/>
  <c r="H6" i="30"/>
  <c r="H10" i="30" s="1"/>
  <c r="G71" i="30" s="1"/>
  <c r="D80" i="18"/>
  <c r="F80" i="18"/>
  <c r="C23" i="30"/>
  <c r="C22" i="30"/>
  <c r="J62" i="30"/>
  <c r="I64" i="30"/>
  <c r="G23" i="30"/>
  <c r="G21" i="30"/>
  <c r="C120" i="18"/>
  <c r="H60" i="30"/>
  <c r="I60" i="30"/>
  <c r="J60" i="30" s="1"/>
  <c r="K60" i="30" s="1"/>
  <c r="L60" i="30" s="1"/>
  <c r="C118" i="18"/>
  <c r="C117" i="18"/>
  <c r="C63" i="30"/>
  <c r="H55" i="30"/>
  <c r="G55" i="30"/>
  <c r="G15" i="30" s="1"/>
  <c r="J79" i="30"/>
  <c r="L80" i="30" s="1"/>
  <c r="C116" i="18"/>
  <c r="C115" i="18"/>
  <c r="J80" i="30"/>
  <c r="C112" i="18"/>
  <c r="D112" i="18" s="1"/>
  <c r="E80" i="18"/>
  <c r="E82" i="18" s="1"/>
  <c r="F81" i="18"/>
  <c r="D81" i="18"/>
  <c r="C80" i="18"/>
  <c r="D51" i="18"/>
  <c r="F51" i="18"/>
  <c r="M9" i="18"/>
  <c r="D50" i="18"/>
  <c r="C36" i="18"/>
  <c r="C35" i="18"/>
  <c r="C97" i="18" s="1"/>
  <c r="E50" i="18"/>
  <c r="F50" i="18"/>
  <c r="H13" i="10" a="1"/>
  <c r="BA13" i="10"/>
  <c r="O13" i="10"/>
  <c r="G13" i="10" a="1"/>
  <c r="BD13" i="10"/>
  <c r="AU13" i="10"/>
  <c r="C98" i="18" l="1"/>
  <c r="C100" i="18" s="1"/>
  <c r="C136" i="18"/>
  <c r="C138" i="18" s="1"/>
  <c r="G13" i="10"/>
  <c r="H13" i="10"/>
  <c r="G73" i="30"/>
  <c r="D82" i="18"/>
  <c r="F82" i="18"/>
  <c r="K62" i="30"/>
  <c r="J64" i="30"/>
  <c r="J63" i="30"/>
  <c r="I17" i="30"/>
  <c r="I24" i="30" s="1"/>
  <c r="I14" i="30"/>
  <c r="I15" i="30"/>
  <c r="I16" i="30"/>
  <c r="G63" i="30"/>
  <c r="G67" i="30" s="1"/>
  <c r="H63" i="30"/>
  <c r="K17" i="30"/>
  <c r="K24" i="30" s="1"/>
  <c r="K14" i="30"/>
  <c r="K21" i="30" s="1"/>
  <c r="K16" i="30"/>
  <c r="K23" i="30" s="1"/>
  <c r="K15" i="30"/>
  <c r="K22" i="30" s="1"/>
  <c r="G22" i="30"/>
  <c r="G26" i="30"/>
  <c r="K80" i="30"/>
  <c r="I80" i="30"/>
  <c r="D92" i="18"/>
  <c r="E92" i="18"/>
  <c r="F92" i="18"/>
  <c r="D115" i="18"/>
  <c r="D117" i="18"/>
  <c r="D116" i="18"/>
  <c r="H35" i="18"/>
  <c r="C38" i="18"/>
  <c r="U13" i="10"/>
  <c r="W13" i="10"/>
  <c r="M13" i="10"/>
  <c r="J13" i="10"/>
  <c r="Q13" i="10"/>
  <c r="G72" i="30" l="1"/>
  <c r="I22" i="30"/>
  <c r="I23" i="30"/>
  <c r="I21" i="30"/>
  <c r="K63" i="30"/>
  <c r="J67" i="30" s="1"/>
  <c r="J72" i="30" s="1"/>
  <c r="K64" i="30"/>
  <c r="J68" i="30" s="1"/>
  <c r="J16" i="30"/>
  <c r="J23" i="30" s="1"/>
  <c r="J17" i="30"/>
  <c r="J24" i="30" s="1"/>
  <c r="J15" i="30"/>
  <c r="J22" i="30" s="1"/>
  <c r="K67" i="30"/>
  <c r="K72" i="30" s="1"/>
  <c r="K68" i="30"/>
  <c r="K73" i="30" s="1"/>
  <c r="J14" i="30"/>
  <c r="J21" i="30" s="1"/>
  <c r="H15" i="30"/>
  <c r="I68" i="30"/>
  <c r="H17" i="30"/>
  <c r="H24" i="30" s="1"/>
  <c r="H14" i="30"/>
  <c r="H16" i="30"/>
  <c r="I67" i="30"/>
  <c r="D118" i="18"/>
  <c r="D55" i="18"/>
  <c r="E55" i="18"/>
  <c r="F55" i="18"/>
  <c r="H37" i="18"/>
  <c r="C84" i="20"/>
  <c r="I27" i="20"/>
  <c r="J27" i="20"/>
  <c r="K27" i="20"/>
  <c r="L27" i="20"/>
  <c r="M27" i="20"/>
  <c r="N27" i="20"/>
  <c r="O27" i="20"/>
  <c r="O8" i="20"/>
  <c r="G14" i="20"/>
  <c r="G13" i="20"/>
  <c r="H10" i="20"/>
  <c r="P8" i="20"/>
  <c r="H56" i="20" s="1"/>
  <c r="AQ13" i="10"/>
  <c r="AC13" i="10"/>
  <c r="I13" i="10"/>
  <c r="X13" i="10"/>
  <c r="T13" i="10"/>
  <c r="P13" i="10"/>
  <c r="AB13" i="10"/>
  <c r="Y13" i="10"/>
  <c r="L13" i="10"/>
  <c r="J73" i="30" l="1"/>
  <c r="I73" i="30"/>
  <c r="H21" i="30"/>
  <c r="H22" i="30"/>
  <c r="I72" i="30"/>
  <c r="H23" i="30"/>
  <c r="C129" i="18"/>
  <c r="D119" i="18"/>
  <c r="D84" i="18"/>
  <c r="D85" i="18" s="1"/>
  <c r="F84" i="18"/>
  <c r="F85" i="18" s="1"/>
  <c r="E84" i="18"/>
  <c r="E85" i="18" s="1"/>
  <c r="H38" i="18"/>
  <c r="I76" i="20"/>
  <c r="J71" i="20"/>
  <c r="K71" i="20" s="1"/>
  <c r="P7" i="20"/>
  <c r="K7" i="20"/>
  <c r="K8" i="20" s="1"/>
  <c r="K9" i="20" s="1"/>
  <c r="P9" i="20" s="1"/>
  <c r="H76" i="20" s="1"/>
  <c r="J21" i="16"/>
  <c r="K21" i="16" s="1"/>
  <c r="AS13" i="10"/>
  <c r="AV13" i="10"/>
  <c r="AW13" i="10"/>
  <c r="AR13" i="10"/>
  <c r="H49" i="20" l="1"/>
  <c r="P67" i="20"/>
  <c r="D120" i="18"/>
  <c r="L71" i="20"/>
  <c r="K76" i="20"/>
  <c r="I67" i="20"/>
  <c r="J67" i="20"/>
  <c r="K67" i="20"/>
  <c r="L67" i="20"/>
  <c r="M67" i="20"/>
  <c r="N67" i="20"/>
  <c r="O67" i="20"/>
  <c r="H67" i="20"/>
  <c r="P10" i="20"/>
  <c r="L33" i="15"/>
  <c r="D27" i="17"/>
  <c r="C27" i="17"/>
  <c r="D52" i="17"/>
  <c r="C19" i="13"/>
  <c r="D19" i="13"/>
  <c r="E19" i="13"/>
  <c r="F19" i="13"/>
  <c r="F18" i="13"/>
  <c r="E18" i="13"/>
  <c r="D18" i="13"/>
  <c r="D9" i="13"/>
  <c r="E9" i="13"/>
  <c r="F9" i="13"/>
  <c r="G9" i="13"/>
  <c r="H9" i="13"/>
  <c r="I9" i="13"/>
  <c r="J9" i="13"/>
  <c r="K9" i="13"/>
  <c r="L9" i="13"/>
  <c r="M9" i="13"/>
  <c r="N9" i="13"/>
  <c r="O9" i="13"/>
  <c r="C9" i="13"/>
  <c r="E8" i="13"/>
  <c r="E11" i="13" s="1"/>
  <c r="D8" i="13"/>
  <c r="C8" i="13"/>
  <c r="E7" i="13"/>
  <c r="D7" i="13"/>
  <c r="C7" i="13"/>
  <c r="F8" i="13"/>
  <c r="F11" i="13" s="1"/>
  <c r="F7" i="13"/>
  <c r="J34" i="13"/>
  <c r="K34" i="13" s="1"/>
  <c r="L34" i="13" s="1"/>
  <c r="M34" i="13" s="1"/>
  <c r="N34" i="13" s="1"/>
  <c r="O34" i="13" s="1"/>
  <c r="P34" i="13" s="1"/>
  <c r="D27" i="14"/>
  <c r="D28" i="14" s="1"/>
  <c r="D20" i="14"/>
  <c r="E49" i="17" l="1"/>
  <c r="D145" i="18"/>
  <c r="C49" i="17"/>
  <c r="C145" i="18"/>
  <c r="D121" i="18"/>
  <c r="D122" i="18"/>
  <c r="M71" i="20"/>
  <c r="C31" i="15"/>
  <c r="D31" i="15"/>
  <c r="E31" i="15"/>
  <c r="F31" i="15"/>
  <c r="G31" i="15"/>
  <c r="H31" i="15"/>
  <c r="L31" i="15"/>
  <c r="M31" i="15"/>
  <c r="O31" i="15"/>
  <c r="P31" i="15"/>
  <c r="C32" i="15"/>
  <c r="D32" i="15"/>
  <c r="E32" i="15"/>
  <c r="F32" i="15"/>
  <c r="G32" i="15"/>
  <c r="H32" i="15"/>
  <c r="I32" i="15"/>
  <c r="M32" i="15"/>
  <c r="N32" i="15"/>
  <c r="O32" i="15"/>
  <c r="P32" i="15"/>
  <c r="C33" i="15"/>
  <c r="D33" i="15"/>
  <c r="E33" i="15"/>
  <c r="F33" i="15"/>
  <c r="G33" i="15"/>
  <c r="H33" i="15"/>
  <c r="M33" i="15"/>
  <c r="O33" i="15"/>
  <c r="P33" i="15"/>
  <c r="C34" i="15"/>
  <c r="D34" i="15"/>
  <c r="E34" i="15"/>
  <c r="F34" i="15"/>
  <c r="G34" i="15"/>
  <c r="H34" i="15"/>
  <c r="I34" i="15"/>
  <c r="J34" i="15"/>
  <c r="M34" i="15"/>
  <c r="N34" i="15"/>
  <c r="O34" i="15"/>
  <c r="P34" i="15"/>
  <c r="B34" i="15"/>
  <c r="B33" i="15"/>
  <c r="B32" i="15"/>
  <c r="B31" i="15"/>
  <c r="D49" i="17" l="1"/>
  <c r="N71" i="20"/>
  <c r="M76" i="20"/>
  <c r="D41" i="15"/>
  <c r="H119" i="12"/>
  <c r="G119" i="12"/>
  <c r="I50" i="12"/>
  <c r="J50" i="12" s="1"/>
  <c r="K50" i="12" s="1"/>
  <c r="L50" i="12" s="1"/>
  <c r="M50" i="12" s="1"/>
  <c r="N50" i="12" s="1"/>
  <c r="O50" i="12" s="1"/>
  <c r="P50" i="12" s="1"/>
  <c r="I51" i="12"/>
  <c r="J51" i="12" s="1"/>
  <c r="K51" i="12" s="1"/>
  <c r="L51" i="12" s="1"/>
  <c r="M51" i="12" s="1"/>
  <c r="N51" i="12" s="1"/>
  <c r="O51" i="12" s="1"/>
  <c r="P51" i="12" s="1"/>
  <c r="I52" i="12"/>
  <c r="J52" i="12" s="1"/>
  <c r="K52" i="12" s="1"/>
  <c r="L52" i="12" s="1"/>
  <c r="M52" i="12" s="1"/>
  <c r="N52" i="12" s="1"/>
  <c r="O52" i="12" s="1"/>
  <c r="P52" i="12" s="1"/>
  <c r="I53" i="12"/>
  <c r="J53" i="12" s="1"/>
  <c r="K53" i="12" s="1"/>
  <c r="L53" i="12" s="1"/>
  <c r="M53" i="12" s="1"/>
  <c r="N53" i="12" s="1"/>
  <c r="O53" i="12" s="1"/>
  <c r="P53" i="12" s="1"/>
  <c r="D94" i="12"/>
  <c r="E94" i="12"/>
  <c r="F94" i="12"/>
  <c r="C94" i="12"/>
  <c r="H67" i="12"/>
  <c r="I67" i="12"/>
  <c r="J67" i="12"/>
  <c r="K67" i="12"/>
  <c r="L67" i="12"/>
  <c r="M67" i="12"/>
  <c r="N67" i="12"/>
  <c r="O67" i="12"/>
  <c r="H81" i="12"/>
  <c r="I81" i="12"/>
  <c r="J106" i="12" s="1"/>
  <c r="J81" i="12"/>
  <c r="K81" i="12"/>
  <c r="L81" i="12"/>
  <c r="M81" i="12"/>
  <c r="N81" i="12"/>
  <c r="O81" i="12"/>
  <c r="H88" i="12"/>
  <c r="I88" i="12"/>
  <c r="J88" i="12" s="1"/>
  <c r="H106" i="12"/>
  <c r="K106" i="12"/>
  <c r="L106" i="12"/>
  <c r="M106" i="12"/>
  <c r="N106" i="12"/>
  <c r="O106" i="12"/>
  <c r="H110" i="12"/>
  <c r="G113" i="12"/>
  <c r="F115" i="12"/>
  <c r="G110" i="12"/>
  <c r="G106" i="12"/>
  <c r="G98" i="12"/>
  <c r="G88" i="12"/>
  <c r="G81" i="12"/>
  <c r="G43" i="12"/>
  <c r="F46" i="12"/>
  <c r="G39" i="12"/>
  <c r="G62" i="12" s="1"/>
  <c r="G37" i="12"/>
  <c r="F40" i="12"/>
  <c r="G67" i="12"/>
  <c r="D92" i="12"/>
  <c r="E92" i="12"/>
  <c r="F92" i="12"/>
  <c r="C92" i="12"/>
  <c r="C89" i="12"/>
  <c r="D89" i="12"/>
  <c r="E89" i="12"/>
  <c r="F89" i="12"/>
  <c r="D86" i="12"/>
  <c r="E86" i="12"/>
  <c r="F86" i="12"/>
  <c r="C86" i="12"/>
  <c r="D82" i="12"/>
  <c r="E82" i="12"/>
  <c r="F82" i="12"/>
  <c r="C82" i="12"/>
  <c r="D78" i="12"/>
  <c r="E78" i="12"/>
  <c r="F78" i="12"/>
  <c r="C78" i="12"/>
  <c r="D71" i="12"/>
  <c r="E71" i="12"/>
  <c r="F71" i="12"/>
  <c r="C71" i="12"/>
  <c r="D68" i="12"/>
  <c r="E68" i="12"/>
  <c r="F68" i="12"/>
  <c r="C68" i="12"/>
  <c r="D63" i="12"/>
  <c r="E63" i="12"/>
  <c r="F63" i="12"/>
  <c r="C63" i="12"/>
  <c r="D60" i="12"/>
  <c r="E60" i="12"/>
  <c r="F60" i="12"/>
  <c r="C60" i="12"/>
  <c r="D56" i="12"/>
  <c r="E56" i="12"/>
  <c r="F56" i="12"/>
  <c r="C56" i="12"/>
  <c r="D54" i="12"/>
  <c r="E54" i="12"/>
  <c r="F54" i="12"/>
  <c r="F12" i="12" s="1"/>
  <c r="C54" i="12"/>
  <c r="C11" i="10" a="1"/>
  <c r="D11" i="10" a="1"/>
  <c r="C30" i="10" l="1"/>
  <c r="K88" i="12"/>
  <c r="K119" i="12"/>
  <c r="J119" i="12"/>
  <c r="I119" i="12"/>
  <c r="I106" i="12"/>
  <c r="P54" i="12"/>
  <c r="O71" i="20"/>
  <c r="N76" i="20"/>
  <c r="D11" i="10"/>
  <c r="C11" i="10"/>
  <c r="I54" i="12"/>
  <c r="K110" i="12"/>
  <c r="J110" i="12"/>
  <c r="I110" i="12"/>
  <c r="D12" i="12"/>
  <c r="O76" i="20" l="1"/>
  <c r="P71" i="20"/>
  <c r="P76" i="20" s="1"/>
  <c r="L88" i="12"/>
  <c r="L119" i="12"/>
  <c r="P38" i="12"/>
  <c r="P105" i="12" s="1"/>
  <c r="P21" i="20"/>
  <c r="P59" i="12"/>
  <c r="P77" i="12"/>
  <c r="P58" i="12"/>
  <c r="P55" i="12"/>
  <c r="P56" i="12" s="1"/>
  <c r="P75" i="12"/>
  <c r="I21" i="20"/>
  <c r="J54" i="12"/>
  <c r="J21" i="20" s="1"/>
  <c r="I58" i="12"/>
  <c r="I75" i="12"/>
  <c r="I77" i="12"/>
  <c r="I59" i="12"/>
  <c r="I55" i="12"/>
  <c r="I56" i="12" s="1"/>
  <c r="I38" i="12"/>
  <c r="I105" i="12" s="1"/>
  <c r="L110" i="12" l="1"/>
  <c r="M88" i="12"/>
  <c r="P30" i="20"/>
  <c r="P23" i="20"/>
  <c r="P32" i="20" s="1"/>
  <c r="P107" i="12"/>
  <c r="P14" i="13"/>
  <c r="P43" i="20"/>
  <c r="P76" i="12"/>
  <c r="P85" i="12"/>
  <c r="P60" i="12"/>
  <c r="J30" i="20"/>
  <c r="J23" i="20"/>
  <c r="J32" i="20" s="1"/>
  <c r="I107" i="12"/>
  <c r="I43" i="20"/>
  <c r="I14" i="13"/>
  <c r="I30" i="20"/>
  <c r="I23" i="20"/>
  <c r="I32" i="20" s="1"/>
  <c r="J75" i="12"/>
  <c r="J99" i="12" s="1"/>
  <c r="J58" i="12"/>
  <c r="J77" i="12"/>
  <c r="J101" i="12" s="1"/>
  <c r="J55" i="12"/>
  <c r="J38" i="12"/>
  <c r="J105" i="12" s="1"/>
  <c r="J59" i="12"/>
  <c r="K54" i="12"/>
  <c r="K21" i="20" s="1"/>
  <c r="I85" i="12"/>
  <c r="I76" i="12"/>
  <c r="I60" i="12"/>
  <c r="N119" i="12" l="1"/>
  <c r="N88" i="12"/>
  <c r="M110" i="12"/>
  <c r="M119" i="12"/>
  <c r="P24" i="20"/>
  <c r="P25" i="20" s="1"/>
  <c r="P7" i="13"/>
  <c r="P124" i="12"/>
  <c r="P130" i="12"/>
  <c r="J107" i="12"/>
  <c r="J43" i="20"/>
  <c r="J14" i="13"/>
  <c r="F42" i="18"/>
  <c r="I24" i="20"/>
  <c r="I25" i="20" s="1"/>
  <c r="I7" i="13"/>
  <c r="K30" i="20"/>
  <c r="K23" i="20"/>
  <c r="K32" i="20" s="1"/>
  <c r="K58" i="12"/>
  <c r="K75" i="12"/>
  <c r="K99" i="12" s="1"/>
  <c r="K38" i="12"/>
  <c r="K105" i="12" s="1"/>
  <c r="K55" i="12"/>
  <c r="K56" i="12" s="1"/>
  <c r="K77" i="12"/>
  <c r="K101" i="12" s="1"/>
  <c r="K59" i="12"/>
  <c r="L54" i="12"/>
  <c r="L21" i="20" s="1"/>
  <c r="J76" i="12"/>
  <c r="J100" i="12" s="1"/>
  <c r="J85" i="12"/>
  <c r="J102" i="12" s="1"/>
  <c r="J56" i="12"/>
  <c r="J60" i="12" s="1"/>
  <c r="L72" i="18"/>
  <c r="O88" i="12" l="1"/>
  <c r="O119" i="12" s="1"/>
  <c r="N110" i="12"/>
  <c r="P26" i="20"/>
  <c r="P72" i="20"/>
  <c r="J42" i="20"/>
  <c r="J24" i="20"/>
  <c r="J25" i="20" s="1"/>
  <c r="J7" i="13"/>
  <c r="L23" i="20"/>
  <c r="L32" i="20" s="1"/>
  <c r="L30" i="20"/>
  <c r="I26" i="20"/>
  <c r="I72" i="20"/>
  <c r="J13" i="13"/>
  <c r="K107" i="12"/>
  <c r="K43" i="20"/>
  <c r="K14" i="13"/>
  <c r="M54" i="12"/>
  <c r="K85" i="12"/>
  <c r="K102" i="12" s="1"/>
  <c r="K76" i="12"/>
  <c r="L38" i="12"/>
  <c r="L105" i="12" s="1"/>
  <c r="L55" i="12"/>
  <c r="L59" i="12"/>
  <c r="L58" i="12"/>
  <c r="L75" i="12"/>
  <c r="L77" i="12"/>
  <c r="L101" i="12" s="1"/>
  <c r="K60" i="12"/>
  <c r="P67" i="18"/>
  <c r="Q67" i="18" s="1"/>
  <c r="N67" i="18"/>
  <c r="M67" i="18" s="1"/>
  <c r="P88" i="12" l="1"/>
  <c r="O110" i="12"/>
  <c r="M21" i="20"/>
  <c r="M23" i="20" s="1"/>
  <c r="M32" i="20" s="1"/>
  <c r="M13" i="12"/>
  <c r="K24" i="20"/>
  <c r="K25" i="20" s="1"/>
  <c r="K7" i="13"/>
  <c r="J26" i="20"/>
  <c r="J72" i="20"/>
  <c r="L107" i="12"/>
  <c r="L43" i="20"/>
  <c r="L14" i="13"/>
  <c r="M30" i="20"/>
  <c r="L76" i="12"/>
  <c r="L100" i="12" s="1"/>
  <c r="L85" i="12"/>
  <c r="L102" i="12" s="1"/>
  <c r="K100" i="12"/>
  <c r="L99" i="12"/>
  <c r="O54" i="12"/>
  <c r="N54" i="12"/>
  <c r="N21" i="20" s="1"/>
  <c r="L56" i="12"/>
  <c r="L60" i="12" s="1"/>
  <c r="M38" i="12"/>
  <c r="M105" i="12" s="1"/>
  <c r="M55" i="12"/>
  <c r="M56" i="12" s="1"/>
  <c r="M59" i="12"/>
  <c r="M58" i="12"/>
  <c r="M75" i="12"/>
  <c r="M77" i="12"/>
  <c r="M101" i="12" s="1"/>
  <c r="BC13" i="10"/>
  <c r="BC14" i="10"/>
  <c r="BC16" i="10"/>
  <c r="BC17" i="10"/>
  <c r="BC18" i="10"/>
  <c r="BD18" i="10"/>
  <c r="BB18" i="10"/>
  <c r="AY18" i="10"/>
  <c r="AE18" i="10"/>
  <c r="AF18" i="10"/>
  <c r="AG18" i="10"/>
  <c r="AI18" i="10"/>
  <c r="AJ18" i="10"/>
  <c r="AK18" i="10"/>
  <c r="AM18" i="10"/>
  <c r="AN18" i="10"/>
  <c r="AO18" i="10"/>
  <c r="F18" i="10"/>
  <c r="P119" i="12" l="1"/>
  <c r="P110" i="12"/>
  <c r="O21" i="20"/>
  <c r="O23" i="20" s="1"/>
  <c r="O32" i="20" s="1"/>
  <c r="P12" i="12"/>
  <c r="P18" i="13" s="1"/>
  <c r="L24" i="20"/>
  <c r="L25" i="20" s="1"/>
  <c r="L7" i="13"/>
  <c r="M107" i="12"/>
  <c r="M43" i="20"/>
  <c r="M14" i="13"/>
  <c r="L42" i="20"/>
  <c r="L13" i="13"/>
  <c r="N23" i="20"/>
  <c r="N32" i="20" s="1"/>
  <c r="N30" i="20"/>
  <c r="K42" i="20"/>
  <c r="K13" i="13"/>
  <c r="K26" i="20"/>
  <c r="K72" i="20"/>
  <c r="N59" i="12"/>
  <c r="N55" i="12"/>
  <c r="N56" i="12" s="1"/>
  <c r="N38" i="12"/>
  <c r="N105" i="12" s="1"/>
  <c r="N77" i="12"/>
  <c r="N58" i="12"/>
  <c r="N75" i="12"/>
  <c r="N99" i="12" s="1"/>
  <c r="M76" i="12"/>
  <c r="M100" i="12" s="1"/>
  <c r="M85" i="12"/>
  <c r="M102" i="12" s="1"/>
  <c r="O38" i="12"/>
  <c r="O105" i="12" s="1"/>
  <c r="O55" i="12"/>
  <c r="O56" i="12" s="1"/>
  <c r="O59" i="12"/>
  <c r="O77" i="12"/>
  <c r="P101" i="12" s="1"/>
  <c r="O58" i="12"/>
  <c r="O75" i="12"/>
  <c r="P99" i="12" s="1"/>
  <c r="M60" i="12"/>
  <c r="M99" i="12"/>
  <c r="M10" i="18"/>
  <c r="E93" i="18" l="1"/>
  <c r="F93" i="18"/>
  <c r="D93" i="18"/>
  <c r="E49" i="18"/>
  <c r="F49" i="18"/>
  <c r="D49" i="18"/>
  <c r="O30" i="20"/>
  <c r="O107" i="12"/>
  <c r="O43" i="20"/>
  <c r="O14" i="13"/>
  <c r="M42" i="20"/>
  <c r="M13" i="13"/>
  <c r="N107" i="12"/>
  <c r="N43" i="20"/>
  <c r="N14" i="13"/>
  <c r="M24" i="20"/>
  <c r="M25" i="20" s="1"/>
  <c r="M7" i="13"/>
  <c r="L26" i="20"/>
  <c r="L72" i="20"/>
  <c r="O99" i="12"/>
  <c r="O101" i="12"/>
  <c r="O76" i="12"/>
  <c r="P100" i="12" s="1"/>
  <c r="P42" i="20" s="1"/>
  <c r="O85" i="12"/>
  <c r="P102" i="12" s="1"/>
  <c r="O60" i="12"/>
  <c r="N76" i="12"/>
  <c r="N85" i="12"/>
  <c r="N102" i="12" s="1"/>
  <c r="N60" i="12"/>
  <c r="N101" i="12"/>
  <c r="P13" i="13" l="1"/>
  <c r="O100" i="12"/>
  <c r="N24" i="20"/>
  <c r="N25" i="20" s="1"/>
  <c r="N7" i="13"/>
  <c r="M26" i="20"/>
  <c r="M72" i="20"/>
  <c r="O24" i="20"/>
  <c r="O25" i="20" s="1"/>
  <c r="O7" i="13"/>
  <c r="N100" i="12"/>
  <c r="O102" i="12"/>
  <c r="C85" i="20"/>
  <c r="C86" i="20" s="1"/>
  <c r="C87" i="20" s="1"/>
  <c r="C88" i="20" s="1"/>
  <c r="C89" i="20" s="1"/>
  <c r="C90" i="20" s="1"/>
  <c r="C91" i="20" s="1"/>
  <c r="O42" i="20" l="1"/>
  <c r="O26" i="20"/>
  <c r="O72" i="20"/>
  <c r="N42" i="20"/>
  <c r="N13" i="13"/>
  <c r="O13" i="13"/>
  <c r="N26" i="20"/>
  <c r="N72" i="20"/>
  <c r="C92" i="20"/>
  <c r="C93" i="20" s="1"/>
  <c r="C94" i="20" s="1"/>
  <c r="C95" i="20" s="1"/>
  <c r="C96" i="20" l="1"/>
  <c r="C97" i="20" s="1"/>
  <c r="C98" i="20" s="1"/>
  <c r="C99" i="20" s="1"/>
  <c r="C100" i="20" s="1"/>
  <c r="C101" i="20" s="1"/>
  <c r="C102" i="20" s="1"/>
  <c r="C103" i="20" s="1"/>
  <c r="D131" i="12" l="1"/>
  <c r="E131" i="12"/>
  <c r="F131" i="12"/>
  <c r="C131" i="12"/>
  <c r="D89" i="18" l="1"/>
  <c r="E89" i="18"/>
  <c r="F89" i="18"/>
  <c r="C89" i="18"/>
  <c r="H64" i="13" l="1"/>
  <c r="H11" i="14" l="1"/>
  <c r="F11" i="14"/>
  <c r="E11" i="14"/>
  <c r="I10" i="14"/>
  <c r="H10" i="14"/>
  <c r="H9" i="14"/>
  <c r="F10" i="14"/>
  <c r="F9" i="14"/>
  <c r="E10" i="14"/>
  <c r="E9" i="14"/>
  <c r="D10" i="14"/>
  <c r="D9" i="14"/>
  <c r="C10" i="14"/>
  <c r="C9" i="14"/>
  <c r="K9" i="14" l="1"/>
  <c r="L9" i="14" s="1"/>
  <c r="M9" i="14" s="1"/>
  <c r="K11" i="14"/>
  <c r="L11" i="14" s="1"/>
  <c r="M11" i="14" s="1"/>
  <c r="K10" i="14"/>
  <c r="L10" i="14" s="1"/>
  <c r="M10" i="14" s="1"/>
  <c r="N16" i="15"/>
  <c r="N33" i="15" s="1"/>
  <c r="K26" i="15"/>
  <c r="K25" i="15"/>
  <c r="K24" i="15"/>
  <c r="J25" i="15"/>
  <c r="K21" i="15"/>
  <c r="L25" i="15"/>
  <c r="F16" i="10" l="1"/>
  <c r="F17" i="10"/>
  <c r="F59" i="12" l="1"/>
  <c r="F58" i="12"/>
  <c r="F55" i="12"/>
  <c r="E81" i="12"/>
  <c r="D81" i="12"/>
  <c r="E80" i="12"/>
  <c r="D80" i="12"/>
  <c r="E55" i="12"/>
  <c r="D55" i="12"/>
  <c r="E21" i="12"/>
  <c r="D21" i="12" l="1"/>
  <c r="E127" i="12" l="1"/>
  <c r="D127" i="12"/>
  <c r="C127" i="12"/>
  <c r="D133" i="12" l="1"/>
  <c r="M6" i="18" l="1"/>
  <c r="E8" i="12" l="1"/>
  <c r="D8" i="12"/>
  <c r="F9" i="12"/>
  <c r="E9" i="12"/>
  <c r="D9" i="12"/>
  <c r="F10" i="12"/>
  <c r="E10" i="12"/>
  <c r="D10" i="12"/>
  <c r="F11" i="12"/>
  <c r="E11" i="12"/>
  <c r="D11" i="12"/>
  <c r="D17" i="12"/>
  <c r="C28" i="12"/>
  <c r="C27" i="12"/>
  <c r="C24" i="12"/>
  <c r="D24" i="12"/>
  <c r="F18" i="12"/>
  <c r="E18" i="12"/>
  <c r="D18" i="12"/>
  <c r="C18" i="12"/>
  <c r="D26" i="12"/>
  <c r="E23" i="12"/>
  <c r="C26" i="12"/>
  <c r="E133" i="12" l="1"/>
  <c r="F133" i="12"/>
  <c r="D14" i="12"/>
  <c r="E14" i="12"/>
  <c r="C23" i="12"/>
  <c r="D16" i="12"/>
  <c r="D130" i="12"/>
  <c r="C14" i="12"/>
  <c r="C16" i="12"/>
  <c r="D15" i="12"/>
  <c r="D25" i="12"/>
  <c r="E15" i="12"/>
  <c r="E25" i="12"/>
  <c r="C25" i="12"/>
  <c r="C130" i="12"/>
  <c r="C15" i="12"/>
  <c r="D23" i="12"/>
  <c r="E26" i="12"/>
  <c r="E130" i="12"/>
  <c r="E12" i="12"/>
  <c r="E16" i="12"/>
  <c r="E124" i="12" l="1"/>
  <c r="C124" i="12"/>
  <c r="D124" i="12"/>
  <c r="AO14" i="10" l="1"/>
  <c r="AN14" i="10"/>
  <c r="AM14" i="10"/>
  <c r="AK14" i="10"/>
  <c r="AJ14" i="10"/>
  <c r="AI14" i="10"/>
  <c r="AG14" i="10"/>
  <c r="AF14" i="10"/>
  <c r="AE14" i="10"/>
  <c r="AY14" i="10"/>
  <c r="BB14" i="10"/>
  <c r="BD14" i="10"/>
  <c r="G10" i="14" s="1"/>
  <c r="I23" i="15"/>
  <c r="J23" i="15" s="1"/>
  <c r="K23" i="15"/>
  <c r="C7" i="10" l="1"/>
  <c r="C11" i="14" l="1"/>
  <c r="D11" i="14"/>
  <c r="C8" i="14"/>
  <c r="A1" i="14"/>
  <c r="M9" i="10" l="1"/>
  <c r="E12" i="10"/>
  <c r="BF12" i="10"/>
  <c r="AZ12" i="10"/>
  <c r="AG9" i="10" l="1"/>
  <c r="Y9" i="10"/>
  <c r="AC9" i="10" s="1"/>
  <c r="Q9" i="10"/>
  <c r="AZ29" i="10"/>
  <c r="AZ30" i="10"/>
  <c r="I8" i="14"/>
  <c r="F12" i="10"/>
  <c r="G12" i="10"/>
  <c r="AK9" i="10" l="1"/>
  <c r="U9" i="10"/>
  <c r="AO9" i="10" s="1"/>
  <c r="E8" i="14"/>
  <c r="BG12" i="10"/>
  <c r="BA12" i="10"/>
  <c r="BH12" i="10"/>
  <c r="BD12" i="10"/>
  <c r="K12" i="10"/>
  <c r="BE12" i="10"/>
  <c r="H8" i="14" l="1"/>
  <c r="F8" i="14"/>
  <c r="K8" i="14" s="1"/>
  <c r="L8" i="14" s="1"/>
  <c r="D8" i="14"/>
  <c r="G8" i="14"/>
  <c r="H12" i="10"/>
  <c r="AE12" i="10" l="1"/>
  <c r="S12" i="10"/>
  <c r="W12" i="10"/>
  <c r="AA12" i="10"/>
  <c r="X12" i="10"/>
  <c r="L12" i="10"/>
  <c r="I12" i="10"/>
  <c r="AB12" i="10"/>
  <c r="O12" i="10"/>
  <c r="T12" i="10"/>
  <c r="P12" i="10"/>
  <c r="AY12" i="10" l="1"/>
  <c r="AI12" i="10"/>
  <c r="AM12" i="10"/>
  <c r="I30" i="10"/>
  <c r="AJ12" i="10"/>
  <c r="BB12" i="10"/>
  <c r="AF12" i="10"/>
  <c r="AN12" i="10"/>
  <c r="Q12" i="10"/>
  <c r="AQ12" i="10"/>
  <c r="AV12" i="10"/>
  <c r="AC12" i="10"/>
  <c r="AR12" i="10"/>
  <c r="M12" i="10"/>
  <c r="U12" i="10"/>
  <c r="Y12" i="10"/>
  <c r="AU12" i="10"/>
  <c r="J12" i="10"/>
  <c r="J30" i="10" l="1"/>
  <c r="BC12" i="10"/>
  <c r="AO12" i="10"/>
  <c r="AG12" i="10"/>
  <c r="AK12" i="10"/>
  <c r="AS12" i="10"/>
  <c r="AW12" i="10"/>
  <c r="M8" i="14" l="1"/>
  <c r="C136" i="12" l="1"/>
  <c r="C139" i="12" s="1"/>
  <c r="D136" i="12"/>
  <c r="D139" i="12" s="1"/>
  <c r="E136" i="12"/>
  <c r="E139" i="12" s="1"/>
  <c r="F136" i="12"/>
  <c r="F139" i="12" s="1"/>
  <c r="C123" i="12" l="1"/>
  <c r="C138" i="12"/>
  <c r="C137" i="12"/>
  <c r="E138" i="12"/>
  <c r="D138" i="12"/>
  <c r="D137" i="12"/>
  <c r="E137" i="12"/>
  <c r="H44" i="22"/>
  <c r="F44" i="22"/>
  <c r="D44" i="22"/>
  <c r="R43" i="22"/>
  <c r="P43" i="22"/>
  <c r="N43" i="22"/>
  <c r="L43" i="22"/>
  <c r="R40" i="22"/>
  <c r="P40" i="22"/>
  <c r="N40" i="22"/>
  <c r="L40" i="22"/>
  <c r="F40" i="22"/>
  <c r="D40" i="22"/>
  <c r="B13" i="22"/>
  <c r="O2" i="20"/>
  <c r="N2" i="20"/>
  <c r="M2" i="20"/>
  <c r="L2" i="20"/>
  <c r="K2" i="20"/>
  <c r="J2" i="20"/>
  <c r="I2" i="20"/>
  <c r="H2" i="20"/>
  <c r="G2" i="20"/>
  <c r="F2" i="20"/>
  <c r="E2" i="20"/>
  <c r="D2" i="20"/>
  <c r="C2" i="20"/>
  <c r="A1" i="20"/>
  <c r="C73" i="18"/>
  <c r="C71" i="18"/>
  <c r="G67" i="18"/>
  <c r="H67" i="18" s="1"/>
  <c r="E67" i="18"/>
  <c r="D67" i="18" s="1"/>
  <c r="P20" i="18"/>
  <c r="O20" i="18"/>
  <c r="N20" i="18"/>
  <c r="M20" i="18"/>
  <c r="J10" i="18"/>
  <c r="A1" i="18"/>
  <c r="B52" i="17"/>
  <c r="B48" i="17"/>
  <c r="B47" i="17"/>
  <c r="I2" i="16"/>
  <c r="H2" i="16"/>
  <c r="G2" i="16"/>
  <c r="F2" i="16"/>
  <c r="E2" i="16"/>
  <c r="D2" i="16"/>
  <c r="C2" i="16"/>
  <c r="A1" i="16"/>
  <c r="K22" i="15"/>
  <c r="K34" i="15" s="1"/>
  <c r="K20" i="15"/>
  <c r="K19" i="15"/>
  <c r="K18" i="15"/>
  <c r="I18" i="15"/>
  <c r="J18" i="15" s="1"/>
  <c r="K16" i="15"/>
  <c r="K33" i="15" s="1"/>
  <c r="I16" i="15"/>
  <c r="I33" i="15" s="1"/>
  <c r="I15" i="15"/>
  <c r="I14" i="15"/>
  <c r="L13" i="15"/>
  <c r="K13" i="15"/>
  <c r="K32" i="15" s="1"/>
  <c r="J13" i="15"/>
  <c r="J32" i="15" s="1"/>
  <c r="K12" i="15"/>
  <c r="I12" i="15"/>
  <c r="J12" i="15" s="1"/>
  <c r="N11" i="15"/>
  <c r="N31" i="15" s="1"/>
  <c r="K11" i="15"/>
  <c r="K31" i="15" s="1"/>
  <c r="I11" i="15"/>
  <c r="I31" i="15" s="1"/>
  <c r="K10" i="15"/>
  <c r="I10" i="15"/>
  <c r="J10" i="15" s="1"/>
  <c r="K9" i="15"/>
  <c r="I9" i="15"/>
  <c r="J9" i="15" s="1"/>
  <c r="I8" i="15"/>
  <c r="N7" i="15"/>
  <c r="K7" i="15"/>
  <c r="I7" i="15"/>
  <c r="J7" i="15" s="1"/>
  <c r="H73" i="13"/>
  <c r="I55" i="13"/>
  <c r="J55" i="13" s="1"/>
  <c r="G55" i="13"/>
  <c r="F55" i="13" s="1"/>
  <c r="B14" i="13"/>
  <c r="O2" i="13"/>
  <c r="N2" i="13"/>
  <c r="M2" i="13"/>
  <c r="L2" i="13"/>
  <c r="K2" i="13"/>
  <c r="J2" i="13"/>
  <c r="I2" i="13"/>
  <c r="H2" i="13"/>
  <c r="G2" i="13"/>
  <c r="F2" i="13"/>
  <c r="E2" i="13"/>
  <c r="D2" i="13"/>
  <c r="C2" i="13"/>
  <c r="A1" i="13"/>
  <c r="B98" i="12"/>
  <c r="F30" i="12"/>
  <c r="E30" i="12"/>
  <c r="D30" i="12"/>
  <c r="F28" i="12"/>
  <c r="E28" i="12"/>
  <c r="D28" i="12"/>
  <c r="F27" i="12"/>
  <c r="E27" i="12"/>
  <c r="D27" i="12"/>
  <c r="F24" i="12"/>
  <c r="E24" i="12"/>
  <c r="F17" i="12"/>
  <c r="E17" i="12"/>
  <c r="E3" i="20"/>
  <c r="J29" i="10"/>
  <c r="I29" i="10"/>
  <c r="C29" i="10"/>
  <c r="B28" i="10"/>
  <c r="AU26" i="10"/>
  <c r="AQ26" i="10"/>
  <c r="AM26" i="10"/>
  <c r="AI26" i="10"/>
  <c r="AE26" i="10"/>
  <c r="BD17" i="10"/>
  <c r="G11" i="14" s="1"/>
  <c r="BB17" i="10"/>
  <c r="AY17" i="10"/>
  <c r="AO17" i="10"/>
  <c r="AN17" i="10"/>
  <c r="AM17" i="10"/>
  <c r="AK17" i="10"/>
  <c r="AJ17" i="10"/>
  <c r="AI17" i="10"/>
  <c r="AG17" i="10"/>
  <c r="AF17" i="10"/>
  <c r="AE17" i="10"/>
  <c r="BD16" i="10"/>
  <c r="BB16" i="10"/>
  <c r="AY16" i="10"/>
  <c r="AO16" i="10"/>
  <c r="AN16" i="10"/>
  <c r="AM16" i="10"/>
  <c r="AK16" i="10"/>
  <c r="AJ16" i="10"/>
  <c r="AI16" i="10"/>
  <c r="AG16" i="10"/>
  <c r="AF16" i="10"/>
  <c r="AE16" i="10"/>
  <c r="G9" i="14"/>
  <c r="BB13" i="10"/>
  <c r="AY13" i="10"/>
  <c r="AO13" i="10"/>
  <c r="AN13" i="10"/>
  <c r="AM13" i="10"/>
  <c r="AK13" i="10"/>
  <c r="AJ13" i="10"/>
  <c r="AI13" i="10"/>
  <c r="AG13" i="10"/>
  <c r="AF13" i="10"/>
  <c r="AE13" i="10"/>
  <c r="F13" i="10"/>
  <c r="F14" i="10"/>
  <c r="AG26" i="10"/>
  <c r="AF26" i="10"/>
  <c r="I26" i="10"/>
  <c r="L81" i="5"/>
  <c r="K81" i="5"/>
  <c r="J81" i="5"/>
  <c r="I81" i="5"/>
  <c r="G78" i="5"/>
  <c r="B71" i="5"/>
  <c r="G69" i="5"/>
  <c r="B69" i="5"/>
  <c r="B68" i="5"/>
  <c r="B67" i="5"/>
  <c r="H62" i="5"/>
  <c r="G62" i="5"/>
  <c r="E60" i="5"/>
  <c r="D60" i="5"/>
  <c r="L59" i="5"/>
  <c r="K59" i="5"/>
  <c r="J59" i="5"/>
  <c r="I59" i="5"/>
  <c r="H59" i="5"/>
  <c r="G59" i="5"/>
  <c r="F59" i="5"/>
  <c r="E59" i="5"/>
  <c r="D59" i="5"/>
  <c r="C59" i="5"/>
  <c r="H54" i="5"/>
  <c r="G54" i="5"/>
  <c r="F53" i="5"/>
  <c r="E53" i="5"/>
  <c r="E55" i="5" s="1"/>
  <c r="E63" i="5" s="1"/>
  <c r="D53" i="5"/>
  <c r="D55" i="5" s="1"/>
  <c r="D63" i="5" s="1"/>
  <c r="C53" i="5"/>
  <c r="H53" i="5" s="1"/>
  <c r="N23" i="18" s="1"/>
  <c r="H44" i="5"/>
  <c r="M21" i="18" s="1"/>
  <c r="G44" i="5"/>
  <c r="G14" i="5" s="1"/>
  <c r="C43" i="5"/>
  <c r="H43" i="5" s="1"/>
  <c r="J39" i="5"/>
  <c r="G39" i="5"/>
  <c r="P37" i="5"/>
  <c r="P36" i="5"/>
  <c r="P35" i="5"/>
  <c r="P34" i="5"/>
  <c r="P33" i="5"/>
  <c r="P32" i="5"/>
  <c r="P31" i="5"/>
  <c r="P30" i="5"/>
  <c r="G20" i="5"/>
  <c r="E13" i="5"/>
  <c r="C13" i="5"/>
  <c r="G60" i="5" s="1"/>
  <c r="H9" i="5"/>
  <c r="C9" i="5"/>
  <c r="H8" i="5"/>
  <c r="K13" i="5"/>
  <c r="K20" i="5" s="1"/>
  <c r="H7" i="5"/>
  <c r="C7" i="5"/>
  <c r="E5" i="5"/>
  <c r="H10" i="16" l="1"/>
  <c r="F31" i="18" s="1"/>
  <c r="I13" i="16"/>
  <c r="I15" i="16" s="1"/>
  <c r="I16" i="16" s="1"/>
  <c r="J13" i="16"/>
  <c r="J15" i="16" s="1"/>
  <c r="J16" i="16" s="1"/>
  <c r="K13" i="16"/>
  <c r="K15" i="16" s="1"/>
  <c r="K16" i="16" s="1"/>
  <c r="AM29" i="10"/>
  <c r="AM30" i="10"/>
  <c r="AY29" i="10"/>
  <c r="AY30" i="10"/>
  <c r="AO29" i="10"/>
  <c r="AO30" i="10"/>
  <c r="AE29" i="10"/>
  <c r="AE30" i="10"/>
  <c r="AK29" i="10"/>
  <c r="AK30" i="10"/>
  <c r="AF29" i="10"/>
  <c r="AF30" i="10"/>
  <c r="AJ29" i="10"/>
  <c r="AJ30" i="10"/>
  <c r="AN29" i="10"/>
  <c r="AN30" i="10"/>
  <c r="AG29" i="10"/>
  <c r="AG30" i="10"/>
  <c r="AI29" i="10"/>
  <c r="AI30" i="10"/>
  <c r="E64" i="5"/>
  <c r="D64" i="5"/>
  <c r="C60" i="5"/>
  <c r="I60" i="5" s="1"/>
  <c r="J60" i="5" s="1"/>
  <c r="K60" i="5" s="1"/>
  <c r="L60" i="5" s="1"/>
  <c r="C74" i="18"/>
  <c r="L73" i="18"/>
  <c r="C70" i="18"/>
  <c r="L71" i="18"/>
  <c r="L32" i="15"/>
  <c r="D123" i="12"/>
  <c r="E123" i="12"/>
  <c r="I64" i="13"/>
  <c r="J64" i="13" s="1"/>
  <c r="G64" i="13"/>
  <c r="F64" i="13" s="1"/>
  <c r="J11" i="15"/>
  <c r="J31" i="15" s="1"/>
  <c r="J16" i="15"/>
  <c r="J33" i="15" s="1"/>
  <c r="I73" i="13"/>
  <c r="J73" i="13" s="1"/>
  <c r="G73" i="13"/>
  <c r="F73" i="13" s="1"/>
  <c r="I62" i="5"/>
  <c r="I63" i="5" s="1"/>
  <c r="C55" i="5"/>
  <c r="G53" i="5"/>
  <c r="M23" i="18" s="1"/>
  <c r="C64" i="5"/>
  <c r="H81" i="5"/>
  <c r="D38" i="5"/>
  <c r="D39" i="5" s="1"/>
  <c r="C23" i="5" s="1"/>
  <c r="P38" i="5"/>
  <c r="D34" i="5" s="1"/>
  <c r="D35" i="5" s="1"/>
  <c r="M12" i="18" s="1"/>
  <c r="G43" i="5"/>
  <c r="I43" i="5"/>
  <c r="J43" i="5" s="1"/>
  <c r="K43" i="5" s="1"/>
  <c r="L43" i="5" s="1"/>
  <c r="H13" i="5"/>
  <c r="H20" i="5" s="1"/>
  <c r="J13" i="5"/>
  <c r="J20" i="5" s="1"/>
  <c r="AJ26" i="10"/>
  <c r="BG11" i="10"/>
  <c r="BA11" i="10"/>
  <c r="E11" i="10"/>
  <c r="C29" i="17" l="1"/>
  <c r="D29" i="17"/>
  <c r="E31" i="18"/>
  <c r="D31" i="18"/>
  <c r="F43" i="18" s="1"/>
  <c r="F48" i="18"/>
  <c r="F44" i="18"/>
  <c r="F86" i="18" s="1"/>
  <c r="F87" i="18" s="1"/>
  <c r="E54" i="18"/>
  <c r="E56" i="18" s="1"/>
  <c r="F54" i="18"/>
  <c r="F56" i="18" s="1"/>
  <c r="C128" i="18"/>
  <c r="C130" i="18" s="1"/>
  <c r="D54" i="18"/>
  <c r="D56" i="18" s="1"/>
  <c r="D46" i="18"/>
  <c r="E46" i="18"/>
  <c r="F46" i="18"/>
  <c r="H60" i="5"/>
  <c r="C69" i="18"/>
  <c r="L70" i="18"/>
  <c r="C75" i="18"/>
  <c r="L74" i="18"/>
  <c r="I64" i="5"/>
  <c r="J62" i="5"/>
  <c r="F7" i="14"/>
  <c r="AZ11" i="10"/>
  <c r="D128" i="18" l="1"/>
  <c r="D129" i="18"/>
  <c r="C76" i="18"/>
  <c r="L76" i="18" s="1"/>
  <c r="L75" i="18"/>
  <c r="C68" i="18"/>
  <c r="L68" i="18" s="1"/>
  <c r="L69" i="18"/>
  <c r="AZ28" i="10"/>
  <c r="C7" i="14"/>
  <c r="G64" i="5"/>
  <c r="G68" i="5" s="1"/>
  <c r="H64" i="5"/>
  <c r="C22" i="5"/>
  <c r="G16" i="5"/>
  <c r="C63" i="5"/>
  <c r="H55" i="5"/>
  <c r="M22" i="18" s="1"/>
  <c r="G55" i="5"/>
  <c r="G15" i="5" s="1"/>
  <c r="J64" i="5"/>
  <c r="J63" i="5"/>
  <c r="K62" i="5"/>
  <c r="AO26" i="10"/>
  <c r="J26" i="10"/>
  <c r="AW9" i="10"/>
  <c r="AW26" i="10" s="1"/>
  <c r="AK26" i="10"/>
  <c r="AS9" i="10"/>
  <c r="AS26" i="10" s="1"/>
  <c r="I13" i="5"/>
  <c r="I20" i="5" s="1"/>
  <c r="AN26" i="10"/>
  <c r="G79" i="5"/>
  <c r="AR9" i="10"/>
  <c r="AR26" i="10" s="1"/>
  <c r="AV9" i="10"/>
  <c r="AV26" i="10" s="1"/>
  <c r="D36" i="5"/>
  <c r="M13" i="18" s="1"/>
  <c r="M17" i="18" s="1"/>
  <c r="E125" i="12"/>
  <c r="C125" i="12"/>
  <c r="F3" i="20"/>
  <c r="C28" i="10"/>
  <c r="F11" i="10"/>
  <c r="BF11" i="10"/>
  <c r="K11" i="10"/>
  <c r="C41" i="18" l="1"/>
  <c r="C44" i="18" s="1"/>
  <c r="C81" i="18"/>
  <c r="C82" i="18" s="1"/>
  <c r="I7" i="14"/>
  <c r="BH11" i="10"/>
  <c r="D7" i="14" l="1"/>
  <c r="G26" i="5" l="1"/>
  <c r="BD11" i="10"/>
  <c r="B50" i="17" l="1"/>
  <c r="G7" i="14"/>
  <c r="H63" i="5"/>
  <c r="G63" i="5"/>
  <c r="G67" i="5" s="1"/>
  <c r="K64" i="5"/>
  <c r="K63" i="5"/>
  <c r="K79" i="5"/>
  <c r="I79" i="5"/>
  <c r="H6" i="5"/>
  <c r="G25" i="5"/>
  <c r="D125" i="12"/>
  <c r="D19" i="12"/>
  <c r="D132" i="12" s="1"/>
  <c r="D3" i="20"/>
  <c r="C19" i="12"/>
  <c r="G3" i="20"/>
  <c r="E19" i="12"/>
  <c r="E132" i="12" s="1"/>
  <c r="S11" i="10"/>
  <c r="G11" i="10" a="1"/>
  <c r="D37" i="15" l="1"/>
  <c r="C9" i="17"/>
  <c r="G11" i="10"/>
  <c r="J79" i="5"/>
  <c r="K80" i="5" s="1"/>
  <c r="H10" i="5"/>
  <c r="H3" i="20"/>
  <c r="I3" i="12"/>
  <c r="D9" i="17" s="1"/>
  <c r="C3" i="20"/>
  <c r="C3" i="16"/>
  <c r="D3" i="16" s="1"/>
  <c r="E3" i="16" s="1"/>
  <c r="F3" i="16" s="1"/>
  <c r="G3" i="16" s="1"/>
  <c r="H3" i="16" s="1"/>
  <c r="I3" i="16" s="1"/>
  <c r="J3" i="16" s="1"/>
  <c r="K3" i="16" s="1"/>
  <c r="C3" i="13"/>
  <c r="D3" i="13" s="1"/>
  <c r="E3" i="13" s="1"/>
  <c r="F3" i="13" s="1"/>
  <c r="BE11" i="10"/>
  <c r="H11" i="10" a="1"/>
  <c r="H7" i="14" l="1"/>
  <c r="W11" i="10"/>
  <c r="AA11" i="10"/>
  <c r="O11" i="10"/>
  <c r="H11" i="10" l="1"/>
  <c r="AY11" i="10"/>
  <c r="AY20" i="10" s="1"/>
  <c r="J80" i="5"/>
  <c r="I14" i="5" s="1"/>
  <c r="L80" i="5"/>
  <c r="K16" i="5" s="1"/>
  <c r="K23" i="5" s="1"/>
  <c r="I80" i="5"/>
  <c r="I68" i="5" s="1"/>
  <c r="K68" i="5"/>
  <c r="J17" i="5"/>
  <c r="J15" i="5"/>
  <c r="J14" i="5"/>
  <c r="K67" i="5"/>
  <c r="J16" i="5"/>
  <c r="G71" i="5"/>
  <c r="G73" i="5" s="1"/>
  <c r="G21" i="5"/>
  <c r="G22" i="5"/>
  <c r="G23" i="5"/>
  <c r="I3" i="20"/>
  <c r="J3" i="12"/>
  <c r="E9" i="17" s="1"/>
  <c r="G3" i="13"/>
  <c r="AY28" i="10" l="1"/>
  <c r="AY21" i="10"/>
  <c r="E7" i="14"/>
  <c r="K7" i="14" l="1"/>
  <c r="AI11" i="10"/>
  <c r="AI28" i="10" s="1"/>
  <c r="C124" i="18" s="1"/>
  <c r="AM11" i="10"/>
  <c r="AE11" i="10"/>
  <c r="AE28" i="10" s="1"/>
  <c r="I21" i="5"/>
  <c r="I16" i="5"/>
  <c r="K14" i="5"/>
  <c r="K21" i="5" s="1"/>
  <c r="K15" i="5"/>
  <c r="K22" i="5" s="1"/>
  <c r="K17" i="5"/>
  <c r="K24" i="5" s="1"/>
  <c r="J68" i="5"/>
  <c r="J67" i="5"/>
  <c r="I15" i="5"/>
  <c r="I17" i="5"/>
  <c r="H16" i="5"/>
  <c r="I67" i="5"/>
  <c r="H17" i="5"/>
  <c r="H14" i="5"/>
  <c r="H15" i="5"/>
  <c r="J21" i="5"/>
  <c r="J23" i="5"/>
  <c r="AU11" i="10"/>
  <c r="L11" i="10"/>
  <c r="P11" i="10"/>
  <c r="T11" i="10"/>
  <c r="AC11" i="10"/>
  <c r="K13" i="14" l="1"/>
  <c r="D29" i="14" s="1"/>
  <c r="L7" i="14"/>
  <c r="M7" i="14" s="1"/>
  <c r="M13" i="14" s="1"/>
  <c r="D19" i="14" s="1"/>
  <c r="AM28" i="10"/>
  <c r="I22" i="5"/>
  <c r="H23" i="5"/>
  <c r="I23" i="5"/>
  <c r="H22" i="5"/>
  <c r="BB11" i="10"/>
  <c r="AF11" i="10"/>
  <c r="AF28" i="10" s="1"/>
  <c r="AN11" i="10"/>
  <c r="AJ11" i="10"/>
  <c r="J24" i="5"/>
  <c r="H21" i="5"/>
  <c r="J22" i="5"/>
  <c r="H24" i="5"/>
  <c r="I24" i="5"/>
  <c r="AU28" i="10"/>
  <c r="K72" i="5"/>
  <c r="J72" i="5"/>
  <c r="J73" i="5"/>
  <c r="K73" i="5"/>
  <c r="G72" i="5"/>
  <c r="I73" i="5"/>
  <c r="I72" i="5"/>
  <c r="J3" i="20"/>
  <c r="K3" i="12"/>
  <c r="H3" i="13"/>
  <c r="B44" i="13" s="1"/>
  <c r="C62" i="13" s="1"/>
  <c r="AB11" i="10"/>
  <c r="AQ11" i="10"/>
  <c r="Q11" i="10"/>
  <c r="X11" i="10"/>
  <c r="M11" i="10"/>
  <c r="U11" i="10"/>
  <c r="Y11" i="10"/>
  <c r="D24" i="14" l="1"/>
  <c r="D21" i="14"/>
  <c r="D22" i="14" s="1"/>
  <c r="D23" i="14" s="1"/>
  <c r="BB21" i="10"/>
  <c r="BB20" i="10"/>
  <c r="BC11" i="10"/>
  <c r="AQ28" i="10"/>
  <c r="AO11" i="10"/>
  <c r="AG11" i="10"/>
  <c r="AG28" i="10" s="1"/>
  <c r="AK11" i="10"/>
  <c r="I11" i="10"/>
  <c r="AV11" i="10"/>
  <c r="AS11" i="10"/>
  <c r="D16" i="17" l="1"/>
  <c r="C16" i="17"/>
  <c r="C15" i="17" s="1"/>
  <c r="D31" i="14"/>
  <c r="D107" i="18" s="1"/>
  <c r="BC21" i="10"/>
  <c r="BC20" i="10"/>
  <c r="AN28" i="10"/>
  <c r="AO28" i="10"/>
  <c r="AS28" i="10"/>
  <c r="AV28" i="10"/>
  <c r="AJ28" i="10"/>
  <c r="AK28" i="10"/>
  <c r="AK32" i="10" s="1"/>
  <c r="I28" i="10"/>
  <c r="K3" i="20"/>
  <c r="L3" i="12"/>
  <c r="I3" i="13"/>
  <c r="AR11" i="10"/>
  <c r="J3" i="13" l="1"/>
  <c r="B45" i="13"/>
  <c r="D21" i="17"/>
  <c r="D20" i="17" s="1"/>
  <c r="AK38" i="10"/>
  <c r="H29" i="13"/>
  <c r="H7" i="16"/>
  <c r="H17" i="16" s="1"/>
  <c r="C21" i="17"/>
  <c r="D15" i="17"/>
  <c r="AR28" i="10"/>
  <c r="J11" i="10"/>
  <c r="K3" i="13" l="1"/>
  <c r="L3" i="13" s="1"/>
  <c r="M3" i="13" s="1"/>
  <c r="N3" i="13" s="1"/>
  <c r="O3" i="13" s="1"/>
  <c r="P3" i="13" s="1"/>
  <c r="B46" i="13"/>
  <c r="N35" i="13"/>
  <c r="N36" i="13" s="1"/>
  <c r="I22" i="16"/>
  <c r="I23" i="16" s="1"/>
  <c r="J22" i="16"/>
  <c r="J23" i="16" s="1"/>
  <c r="K22" i="16"/>
  <c r="K23" i="16" s="1"/>
  <c r="K19" i="16"/>
  <c r="M35" i="13"/>
  <c r="M36" i="13" s="1"/>
  <c r="K35" i="13"/>
  <c r="K36" i="13" s="1"/>
  <c r="O35" i="13"/>
  <c r="O36" i="13" s="1"/>
  <c r="P35" i="13"/>
  <c r="P36" i="13" s="1"/>
  <c r="I35" i="13"/>
  <c r="I36" i="13" s="1"/>
  <c r="L35" i="13"/>
  <c r="L36" i="13" s="1"/>
  <c r="J35" i="13"/>
  <c r="J36" i="13" s="1"/>
  <c r="C20" i="17"/>
  <c r="J28" i="10"/>
  <c r="J32" i="10" s="1"/>
  <c r="AW11" i="10"/>
  <c r="H37" i="13" l="1"/>
  <c r="H25" i="16"/>
  <c r="H24" i="16"/>
  <c r="AW28" i="10"/>
  <c r="L3" i="20"/>
  <c r="M3" i="12"/>
  <c r="H26" i="16" l="1"/>
  <c r="C140" i="18" s="1"/>
  <c r="C141" i="18" s="1"/>
  <c r="M3" i="20"/>
  <c r="N3" i="12"/>
  <c r="C30" i="17" l="1"/>
  <c r="C31" i="17" s="1"/>
  <c r="D30" i="17"/>
  <c r="D31" i="17" s="1"/>
  <c r="E50" i="17" s="1"/>
  <c r="N3" i="20"/>
  <c r="O3" i="12"/>
  <c r="O3" i="20" l="1"/>
  <c r="P3" i="12"/>
  <c r="P3" i="20" s="1"/>
  <c r="C50" i="17"/>
  <c r="D50" i="17" s="1"/>
  <c r="H51" i="13"/>
  <c r="E58" i="13" s="1"/>
  <c r="E67" i="13" l="1"/>
  <c r="E76" i="13"/>
  <c r="E59" i="13"/>
  <c r="E57" i="13"/>
  <c r="B49" i="17" l="1"/>
  <c r="H56" i="17" s="1"/>
  <c r="E77" i="13"/>
  <c r="E78" i="13" s="1"/>
  <c r="E75" i="13"/>
  <c r="E74" i="13" s="1"/>
  <c r="E66" i="13"/>
  <c r="E65" i="13" s="1"/>
  <c r="E68" i="13"/>
  <c r="E69" i="13" s="1"/>
  <c r="E56" i="13"/>
  <c r="E60" i="13"/>
  <c r="D26" i="17" l="1"/>
  <c r="C26" i="17"/>
  <c r="H59" i="17"/>
  <c r="F16" i="12" l="1"/>
  <c r="F8" i="12"/>
  <c r="F130" i="12" l="1"/>
  <c r="F23" i="12"/>
  <c r="F25" i="12"/>
  <c r="F15" i="12"/>
  <c r="K23" i="10"/>
  <c r="F26" i="12"/>
  <c r="F14" i="12"/>
  <c r="F127" i="12"/>
  <c r="S23" i="10" l="1"/>
  <c r="F137" i="12"/>
  <c r="F124" i="12"/>
  <c r="F138" i="12"/>
  <c r="O23" i="10"/>
  <c r="F123" i="12"/>
  <c r="L20" i="15" l="1"/>
  <c r="L26" i="15"/>
  <c r="L24" i="15"/>
  <c r="L21" i="15"/>
  <c r="L19" i="15"/>
  <c r="L22" i="15"/>
  <c r="L34" i="15" s="1"/>
  <c r="F19" i="12"/>
  <c r="C125" i="18" l="1"/>
  <c r="D36" i="17"/>
  <c r="D34" i="17" s="1"/>
  <c r="C36" i="17"/>
  <c r="C34" i="17" s="1"/>
  <c r="F44" i="15"/>
  <c r="F45" i="15" s="1"/>
  <c r="E44" i="15"/>
  <c r="D44" i="15"/>
  <c r="D45" i="15" s="1"/>
  <c r="K12" i="12"/>
  <c r="K18" i="13" s="1"/>
  <c r="J12" i="12"/>
  <c r="J18" i="13" s="1"/>
  <c r="F125" i="12"/>
  <c r="F21" i="12"/>
  <c r="F132" i="12"/>
  <c r="C37" i="17" l="1"/>
  <c r="C51" i="17" s="1"/>
  <c r="E45" i="15"/>
  <c r="D37" i="17"/>
  <c r="E51" i="17" s="1"/>
  <c r="D51" i="17" s="1"/>
  <c r="I124" i="12"/>
  <c r="I130" i="12"/>
  <c r="J124" i="12" l="1"/>
  <c r="J130" i="12"/>
  <c r="L12" i="12"/>
  <c r="L18" i="13" s="1"/>
  <c r="M12" i="12" l="1"/>
  <c r="M18" i="13" s="1"/>
  <c r="K130" i="12"/>
  <c r="K124" i="12"/>
  <c r="L130" i="12" l="1"/>
  <c r="L124" i="12"/>
  <c r="N12" i="12"/>
  <c r="N18" i="13" s="1"/>
  <c r="M130" i="12" l="1"/>
  <c r="M124" i="12"/>
  <c r="O12" i="12"/>
  <c r="O18" i="13" s="1"/>
  <c r="N130" i="12" l="1"/>
  <c r="N124" i="12"/>
  <c r="O130" i="12" l="1"/>
  <c r="O124" i="12"/>
  <c r="D43" i="18" l="1"/>
  <c r="E43" i="18"/>
  <c r="E48" i="18" s="1"/>
  <c r="G12" i="12"/>
  <c r="G18" i="13" s="1"/>
  <c r="H12" i="12"/>
  <c r="H18" i="13" s="1"/>
  <c r="I12" i="12"/>
  <c r="I18" i="13" s="1"/>
  <c r="G38" i="12"/>
  <c r="G40" i="12" s="1"/>
  <c r="H38" i="12"/>
  <c r="H105" i="12" s="1"/>
  <c r="H107" i="12" s="1"/>
  <c r="G56" i="12"/>
  <c r="H76" i="12"/>
  <c r="G58" i="12"/>
  <c r="H58" i="12"/>
  <c r="G59" i="12"/>
  <c r="G60" i="12" s="1"/>
  <c r="H59" i="12"/>
  <c r="G75" i="12"/>
  <c r="G99" i="12" s="1"/>
  <c r="H75" i="12"/>
  <c r="G77" i="12"/>
  <c r="H77" i="12"/>
  <c r="H101" i="12" s="1"/>
  <c r="I99" i="12"/>
  <c r="G101" i="12"/>
  <c r="G105" i="12"/>
  <c r="G107" i="12"/>
  <c r="L23" i="10"/>
  <c r="M23" i="10"/>
  <c r="BC23" i="10"/>
  <c r="D17" i="17"/>
  <c r="E47" i="17" s="1"/>
  <c r="D48" i="18" l="1"/>
  <c r="D103" i="18"/>
  <c r="G85" i="12"/>
  <c r="G102" i="12" s="1"/>
  <c r="H99" i="12"/>
  <c r="BB23" i="10"/>
  <c r="H56" i="12"/>
  <c r="H60" i="12"/>
  <c r="E42" i="18" s="1"/>
  <c r="E44" i="18" s="1"/>
  <c r="E86" i="18" s="1"/>
  <c r="E87" i="18" s="1"/>
  <c r="H85" i="12"/>
  <c r="I102" i="12" s="1"/>
  <c r="I100" i="12"/>
  <c r="I101" i="12"/>
  <c r="G124" i="12"/>
  <c r="G7" i="13"/>
  <c r="G63" i="12"/>
  <c r="D42" i="18"/>
  <c r="D44" i="18" s="1"/>
  <c r="D86" i="18" s="1"/>
  <c r="D87" i="18" s="1"/>
  <c r="P23" i="10"/>
  <c r="G80" i="12"/>
  <c r="H37" i="12"/>
  <c r="C17" i="17"/>
  <c r="C47" i="17" s="1"/>
  <c r="D47" i="17" s="1"/>
  <c r="G76" i="12"/>
  <c r="C22" i="17" l="1"/>
  <c r="H7" i="13"/>
  <c r="H124" i="12"/>
  <c r="Q23" i="10"/>
  <c r="H102" i="12"/>
  <c r="H130" i="12"/>
  <c r="I42" i="20"/>
  <c r="D22" i="17"/>
  <c r="I13" i="13"/>
  <c r="G100" i="12"/>
  <c r="H100" i="12"/>
  <c r="G130" i="12"/>
  <c r="G131" i="12"/>
  <c r="D102" i="18"/>
  <c r="D104" i="18" s="1"/>
  <c r="D106" i="18" s="1"/>
  <c r="T23" i="10"/>
  <c r="G123" i="12"/>
  <c r="G19" i="13" s="1"/>
  <c r="G8" i="13"/>
  <c r="G11" i="13" s="1"/>
  <c r="G132" i="12"/>
  <c r="H39" i="12"/>
  <c r="H62" i="12" s="1"/>
  <c r="E48" i="17" l="1"/>
  <c r="D144" i="18"/>
  <c r="C48" i="17"/>
  <c r="C144" i="18"/>
  <c r="H98" i="12"/>
  <c r="H63" i="12"/>
  <c r="H40" i="12"/>
  <c r="D48" i="17" l="1"/>
  <c r="H80" i="12"/>
  <c r="I37" i="12"/>
  <c r="U23" i="10"/>
  <c r="H123" i="12"/>
  <c r="H19" i="13" s="1"/>
  <c r="H8" i="13"/>
  <c r="H11" i="13" s="1"/>
  <c r="I39" i="12" l="1"/>
  <c r="I62" i="12" s="1"/>
  <c r="H131" i="12"/>
  <c r="I40" i="12" l="1"/>
  <c r="I98" i="12"/>
  <c r="I63" i="12"/>
  <c r="I31" i="20" l="1"/>
  <c r="I123" i="12"/>
  <c r="I19" i="13" s="1"/>
  <c r="I8" i="13"/>
  <c r="I11" i="13" s="1"/>
  <c r="I41" i="20"/>
  <c r="I12" i="13"/>
  <c r="I80" i="12"/>
  <c r="J37" i="12"/>
  <c r="J39" i="12" l="1"/>
  <c r="J62" i="12" s="1"/>
  <c r="I47" i="20"/>
  <c r="I131" i="12"/>
  <c r="I15" i="13"/>
  <c r="I20" i="13" l="1"/>
  <c r="J98" i="12"/>
  <c r="J63" i="12"/>
  <c r="J40" i="12"/>
  <c r="J12" i="13" l="1"/>
  <c r="J41" i="20"/>
  <c r="I62" i="20"/>
  <c r="J31" i="20"/>
  <c r="J123" i="12"/>
  <c r="J19" i="13" s="1"/>
  <c r="J8" i="13"/>
  <c r="J11" i="13" s="1"/>
  <c r="I54" i="20"/>
  <c r="K37" i="12"/>
  <c r="J80" i="12"/>
  <c r="J15" i="13" l="1"/>
  <c r="J131" i="12"/>
  <c r="K39" i="12"/>
  <c r="K62" i="12" s="1"/>
  <c r="K98" i="12" l="1"/>
  <c r="K63" i="12"/>
  <c r="K40" i="12"/>
  <c r="J20" i="13"/>
  <c r="L37" i="12" l="1"/>
  <c r="K80" i="12"/>
  <c r="K12" i="13"/>
  <c r="K41" i="20"/>
  <c r="K31" i="20"/>
  <c r="K123" i="12"/>
  <c r="K19" i="13" s="1"/>
  <c r="K8" i="13"/>
  <c r="K11" i="13" s="1"/>
  <c r="K15" i="13" l="1"/>
  <c r="K131" i="12"/>
  <c r="L39" i="12"/>
  <c r="L62" i="12" s="1"/>
  <c r="K20" i="13" l="1"/>
  <c r="L98" i="12"/>
  <c r="L63" i="12"/>
  <c r="L40" i="12"/>
  <c r="L31" i="20" l="1"/>
  <c r="L123" i="12"/>
  <c r="L19" i="13" s="1"/>
  <c r="L8" i="13"/>
  <c r="L11" i="13" s="1"/>
  <c r="L12" i="13"/>
  <c r="L41" i="20"/>
  <c r="M37" i="12"/>
  <c r="L80" i="12"/>
  <c r="M39" i="12" l="1"/>
  <c r="M62" i="12" s="1"/>
  <c r="L131" i="12"/>
  <c r="L15" i="13"/>
  <c r="M40" i="12" l="1"/>
  <c r="N37" i="12" s="1"/>
  <c r="L20" i="13"/>
  <c r="M98" i="12"/>
  <c r="M63" i="12"/>
  <c r="M80" i="12" l="1"/>
  <c r="M31" i="20"/>
  <c r="M123" i="12"/>
  <c r="M19" i="13" s="1"/>
  <c r="M8" i="13"/>
  <c r="M11" i="13" s="1"/>
  <c r="M12" i="13"/>
  <c r="M41" i="20"/>
  <c r="N39" i="12"/>
  <c r="N62" i="12" s="1"/>
  <c r="M131" i="12"/>
  <c r="N40" i="12" l="1"/>
  <c r="N80" i="12" s="1"/>
  <c r="N63" i="12"/>
  <c r="N98" i="12"/>
  <c r="M15" i="13"/>
  <c r="O37" i="12" l="1"/>
  <c r="M20" i="13"/>
  <c r="N12" i="13"/>
  <c r="N41" i="20"/>
  <c r="O39" i="12"/>
  <c r="O62" i="12" s="1"/>
  <c r="N131" i="12"/>
  <c r="N31" i="20"/>
  <c r="N123" i="12"/>
  <c r="N19" i="13" s="1"/>
  <c r="N8" i="13"/>
  <c r="N11" i="13" s="1"/>
  <c r="O40" i="12" l="1"/>
  <c r="N15" i="13"/>
  <c r="O63" i="12"/>
  <c r="O98" i="12"/>
  <c r="O80" i="12" l="1"/>
  <c r="O131" i="12" s="1"/>
  <c r="P37" i="12"/>
  <c r="O12" i="13"/>
  <c r="O41" i="20"/>
  <c r="O8" i="13"/>
  <c r="O11" i="13" s="1"/>
  <c r="O31" i="20"/>
  <c r="O123" i="12"/>
  <c r="O19" i="13" s="1"/>
  <c r="N20" i="13"/>
  <c r="P39" i="12" l="1"/>
  <c r="P62" i="12" s="1"/>
  <c r="O15" i="13"/>
  <c r="P40" i="12" l="1"/>
  <c r="P80" i="12" s="1"/>
  <c r="P131" i="12" s="1"/>
  <c r="P98" i="12"/>
  <c r="P63" i="12"/>
  <c r="O20" i="13"/>
  <c r="P8" i="13" l="1"/>
  <c r="P11" i="13" s="1"/>
  <c r="P31" i="20"/>
  <c r="P12" i="13"/>
  <c r="P41" i="20"/>
  <c r="P123" i="12"/>
  <c r="P19" i="13" s="1"/>
  <c r="P15" i="13" l="1"/>
  <c r="P20" i="13" l="1"/>
  <c r="P30" i="13"/>
  <c r="H38" i="13" s="1"/>
  <c r="P31" i="13" l="1"/>
  <c r="E73" i="13" s="1"/>
  <c r="H39" i="13"/>
  <c r="H46" i="13" s="1"/>
  <c r="H44" i="13" l="1"/>
  <c r="E64" i="13" s="1"/>
  <c r="H45" i="13"/>
  <c r="E55" i="13"/>
  <c r="J76" i="20" l="1"/>
  <c r="G22" i="13"/>
  <c r="H22" i="13"/>
  <c r="I22" i="13"/>
  <c r="J22" i="13"/>
  <c r="K22" i="13"/>
  <c r="L22" i="13"/>
  <c r="M22" i="13"/>
  <c r="N22" i="13"/>
  <c r="O22" i="13"/>
  <c r="P22" i="13"/>
  <c r="H23" i="13"/>
  <c r="I23" i="13"/>
  <c r="J23" i="13"/>
  <c r="K23" i="13"/>
  <c r="L23" i="13"/>
  <c r="M23" i="13"/>
  <c r="N23" i="13"/>
  <c r="O23" i="13"/>
  <c r="P23" i="13"/>
  <c r="H24" i="13"/>
  <c r="I24" i="13"/>
  <c r="J24" i="13"/>
  <c r="K24" i="13"/>
  <c r="L24" i="13"/>
  <c r="M24" i="13"/>
  <c r="N24" i="13"/>
  <c r="O24" i="13"/>
  <c r="P24" i="13"/>
  <c r="H25" i="13"/>
  <c r="I25" i="13"/>
  <c r="J25" i="13"/>
  <c r="K25" i="13"/>
  <c r="L25" i="13"/>
  <c r="M25" i="13"/>
  <c r="N25" i="13"/>
  <c r="O25" i="13"/>
  <c r="P25" i="13"/>
  <c r="H41" i="13"/>
  <c r="H42" i="13"/>
  <c r="H43" i="13"/>
  <c r="I33" i="20"/>
  <c r="J33" i="20"/>
  <c r="K33" i="20"/>
  <c r="L33" i="20"/>
  <c r="M33" i="20"/>
  <c r="N33" i="20"/>
  <c r="O33" i="20"/>
  <c r="P33" i="20"/>
  <c r="I34" i="20"/>
  <c r="J34" i="20"/>
  <c r="K34" i="20"/>
  <c r="L34" i="20"/>
  <c r="M34" i="20"/>
  <c r="N34" i="20"/>
  <c r="O34" i="20"/>
  <c r="P34" i="20"/>
  <c r="I35" i="20"/>
  <c r="J35" i="20"/>
  <c r="K35" i="20"/>
  <c r="L35" i="20"/>
  <c r="M35" i="20"/>
  <c r="N35" i="20"/>
  <c r="O35" i="20"/>
  <c r="P35" i="20"/>
  <c r="I36" i="20"/>
  <c r="J36" i="20"/>
  <c r="K36" i="20"/>
  <c r="L36" i="20"/>
  <c r="M36" i="20"/>
  <c r="N36" i="20"/>
  <c r="O36" i="20"/>
  <c r="P36" i="20"/>
  <c r="I37" i="20"/>
  <c r="J37" i="20"/>
  <c r="K37" i="20"/>
  <c r="L37" i="20"/>
  <c r="M37" i="20"/>
  <c r="N37" i="20"/>
  <c r="O37" i="20"/>
  <c r="P37" i="20"/>
  <c r="I40" i="20"/>
  <c r="J40" i="20"/>
  <c r="K40" i="20"/>
  <c r="L40" i="20"/>
  <c r="M40" i="20"/>
  <c r="N40" i="20"/>
  <c r="O40" i="20"/>
  <c r="P40" i="20"/>
  <c r="I44" i="20"/>
  <c r="J44" i="20"/>
  <c r="K44" i="20"/>
  <c r="L44" i="20"/>
  <c r="M44" i="20"/>
  <c r="N44" i="20"/>
  <c r="O44" i="20"/>
  <c r="P44" i="20"/>
  <c r="J47" i="20"/>
  <c r="K47" i="20"/>
  <c r="L47" i="20"/>
  <c r="M47" i="20"/>
  <c r="N47" i="20"/>
  <c r="O47" i="20"/>
  <c r="P47" i="20"/>
  <c r="I48" i="20"/>
  <c r="J48" i="20"/>
  <c r="K48" i="20"/>
  <c r="L48" i="20"/>
  <c r="M48" i="20"/>
  <c r="N48" i="20"/>
  <c r="O48" i="20"/>
  <c r="P48" i="20"/>
  <c r="I49" i="20"/>
  <c r="J49" i="20"/>
  <c r="K49" i="20"/>
  <c r="L49" i="20"/>
  <c r="M49" i="20"/>
  <c r="N49" i="20"/>
  <c r="O49" i="20"/>
  <c r="P49" i="20"/>
  <c r="I50" i="20"/>
  <c r="J50" i="20"/>
  <c r="K50" i="20"/>
  <c r="L50" i="20"/>
  <c r="M50" i="20"/>
  <c r="N50" i="20"/>
  <c r="O50" i="20"/>
  <c r="P50" i="20"/>
  <c r="I52" i="20"/>
  <c r="J52" i="20"/>
  <c r="K52" i="20"/>
  <c r="L52" i="20"/>
  <c r="M52" i="20"/>
  <c r="N52" i="20"/>
  <c r="O52" i="20"/>
  <c r="P52" i="20"/>
  <c r="J54" i="20"/>
  <c r="K54" i="20"/>
  <c r="L54" i="20"/>
  <c r="M54" i="20"/>
  <c r="N54" i="20"/>
  <c r="O54" i="20"/>
  <c r="P54" i="20"/>
  <c r="I55" i="20"/>
  <c r="J55" i="20"/>
  <c r="K55" i="20"/>
  <c r="L55" i="20"/>
  <c r="M55" i="20"/>
  <c r="N55" i="20"/>
  <c r="O55" i="20"/>
  <c r="P55" i="20"/>
  <c r="I56" i="20"/>
  <c r="J56" i="20"/>
  <c r="K56" i="20"/>
  <c r="L56" i="20"/>
  <c r="M56" i="20"/>
  <c r="N56" i="20"/>
  <c r="O56" i="20"/>
  <c r="P56" i="20"/>
  <c r="I57" i="20"/>
  <c r="J57" i="20"/>
  <c r="K57" i="20"/>
  <c r="L57" i="20"/>
  <c r="M57" i="20"/>
  <c r="N57" i="20"/>
  <c r="O57" i="20"/>
  <c r="P57" i="20"/>
  <c r="I59" i="20"/>
  <c r="J59" i="20"/>
  <c r="K59" i="20"/>
  <c r="L59" i="20"/>
  <c r="M59" i="20"/>
  <c r="N59" i="20"/>
  <c r="O59" i="20"/>
  <c r="P59" i="20"/>
  <c r="I60" i="20"/>
  <c r="J60" i="20"/>
  <c r="K60" i="20"/>
  <c r="L60" i="20"/>
  <c r="M60" i="20"/>
  <c r="N60" i="20"/>
  <c r="O60" i="20"/>
  <c r="P60" i="20"/>
  <c r="J62" i="20"/>
  <c r="K62" i="20"/>
  <c r="L62" i="20"/>
  <c r="M62" i="20"/>
  <c r="N62" i="20"/>
  <c r="O62" i="20"/>
  <c r="P62" i="20"/>
  <c r="I63" i="20"/>
  <c r="J63" i="20"/>
  <c r="K63" i="20"/>
  <c r="L63" i="20"/>
  <c r="M63" i="20"/>
  <c r="N63" i="20"/>
  <c r="O63" i="20"/>
  <c r="P63" i="20"/>
  <c r="I64" i="20"/>
  <c r="J64" i="20"/>
  <c r="K64" i="20"/>
  <c r="L64" i="20"/>
  <c r="M64" i="20"/>
  <c r="N64" i="20"/>
  <c r="O64" i="20"/>
  <c r="P64" i="20"/>
  <c r="I65" i="20"/>
  <c r="J65" i="20"/>
  <c r="K65" i="20"/>
  <c r="L65" i="20"/>
  <c r="M65" i="20"/>
  <c r="N65" i="20"/>
  <c r="O65" i="20"/>
  <c r="P65" i="20"/>
  <c r="I68" i="20"/>
  <c r="J68" i="20"/>
  <c r="K68" i="20"/>
  <c r="L68" i="20"/>
  <c r="M68" i="20"/>
  <c r="N68" i="20"/>
  <c r="O68" i="20"/>
  <c r="P68" i="20"/>
  <c r="I73" i="20"/>
  <c r="J73" i="20"/>
  <c r="K73" i="20"/>
  <c r="L73" i="20"/>
  <c r="M73" i="20"/>
  <c r="N73" i="20"/>
  <c r="O73" i="20"/>
  <c r="P73" i="20"/>
  <c r="I74" i="20"/>
  <c r="J74" i="20"/>
  <c r="K74" i="20"/>
  <c r="L74" i="20"/>
  <c r="M74" i="20"/>
  <c r="N74" i="20"/>
  <c r="O74" i="20"/>
  <c r="P74" i="20"/>
  <c r="L76" i="20"/>
  <c r="H77" i="20"/>
  <c r="C82" i="20"/>
  <c r="C24" i="18"/>
  <c r="D24" i="18"/>
  <c r="E24" i="18"/>
  <c r="F24" i="18"/>
  <c r="D47" i="18"/>
  <c r="E47" i="18"/>
  <c r="F47" i="18"/>
  <c r="D52" i="18"/>
  <c r="E52" i="18"/>
  <c r="F52" i="18"/>
  <c r="D59" i="18"/>
  <c r="E59" i="18"/>
  <c r="F59" i="18"/>
  <c r="D60" i="18"/>
  <c r="E60" i="18"/>
  <c r="F60" i="18"/>
  <c r="D61" i="18"/>
  <c r="E61" i="18"/>
  <c r="F61" i="18"/>
  <c r="C67" i="18"/>
  <c r="L67" i="18"/>
  <c r="D94" i="18"/>
  <c r="E94" i="18"/>
  <c r="F94" i="18"/>
  <c r="H43" i="12"/>
  <c r="I43" i="12"/>
  <c r="J43" i="12"/>
  <c r="K43" i="12"/>
  <c r="L43" i="12"/>
  <c r="M43" i="12"/>
  <c r="N43" i="12"/>
  <c r="O43" i="12"/>
  <c r="P43" i="12"/>
  <c r="G44" i="12"/>
  <c r="H44" i="12"/>
  <c r="I44" i="12"/>
  <c r="J44" i="12"/>
  <c r="K44" i="12"/>
  <c r="L44" i="12"/>
  <c r="M44" i="12"/>
  <c r="N44" i="12"/>
  <c r="O44" i="12"/>
  <c r="P44" i="12"/>
  <c r="G45" i="12"/>
  <c r="H45" i="12"/>
  <c r="I45" i="12"/>
  <c r="J45" i="12"/>
  <c r="K45" i="12"/>
  <c r="L45" i="12"/>
  <c r="M45" i="12"/>
  <c r="N45" i="12"/>
  <c r="O45" i="12"/>
  <c r="P45" i="12"/>
  <c r="G46" i="12"/>
  <c r="H46" i="12"/>
  <c r="I46" i="12"/>
  <c r="J46" i="12"/>
  <c r="K46" i="12"/>
  <c r="L46" i="12"/>
  <c r="M46" i="12"/>
  <c r="N46" i="12"/>
  <c r="O46" i="12"/>
  <c r="P46" i="12"/>
  <c r="G65" i="12"/>
  <c r="H65" i="12"/>
  <c r="I65" i="12"/>
  <c r="J65" i="12"/>
  <c r="K65" i="12"/>
  <c r="L65" i="12"/>
  <c r="M65" i="12"/>
  <c r="N65" i="12"/>
  <c r="O65" i="12"/>
  <c r="P65" i="12"/>
  <c r="G66" i="12"/>
  <c r="H66" i="12"/>
  <c r="I66" i="12"/>
  <c r="J66" i="12"/>
  <c r="K66" i="12"/>
  <c r="L66" i="12"/>
  <c r="M66" i="12"/>
  <c r="N66" i="12"/>
  <c r="O66" i="12"/>
  <c r="P66" i="12"/>
  <c r="G68" i="12"/>
  <c r="H68" i="12"/>
  <c r="I68" i="12"/>
  <c r="J68" i="12"/>
  <c r="K68" i="12"/>
  <c r="L68" i="12"/>
  <c r="M68" i="12"/>
  <c r="N68" i="12"/>
  <c r="O68" i="12"/>
  <c r="P68" i="12"/>
  <c r="G70" i="12"/>
  <c r="H70" i="12"/>
  <c r="I70" i="12"/>
  <c r="J70" i="12"/>
  <c r="K70" i="12"/>
  <c r="L70" i="12"/>
  <c r="M70" i="12"/>
  <c r="N70" i="12"/>
  <c r="O70" i="12"/>
  <c r="P70" i="12"/>
  <c r="G71" i="12"/>
  <c r="H71" i="12"/>
  <c r="I71" i="12"/>
  <c r="J71" i="12"/>
  <c r="K71" i="12"/>
  <c r="L71" i="12"/>
  <c r="M71" i="12"/>
  <c r="N71" i="12"/>
  <c r="O71" i="12"/>
  <c r="P71" i="12"/>
  <c r="G74" i="12"/>
  <c r="H74" i="12"/>
  <c r="I74" i="12"/>
  <c r="J74" i="12"/>
  <c r="K74" i="12"/>
  <c r="L74" i="12"/>
  <c r="M74" i="12"/>
  <c r="N74" i="12"/>
  <c r="O74" i="12"/>
  <c r="P74" i="12"/>
  <c r="G78" i="12"/>
  <c r="H78" i="12"/>
  <c r="I78" i="12"/>
  <c r="J78" i="12"/>
  <c r="K78" i="12"/>
  <c r="L78" i="12"/>
  <c r="M78" i="12"/>
  <c r="N78" i="12"/>
  <c r="O78" i="12"/>
  <c r="P78" i="12"/>
  <c r="G82" i="12"/>
  <c r="H82" i="12"/>
  <c r="I82" i="12"/>
  <c r="J82" i="12"/>
  <c r="K82" i="12"/>
  <c r="L82" i="12"/>
  <c r="M82" i="12"/>
  <c r="N82" i="12"/>
  <c r="O82" i="12"/>
  <c r="P82" i="12"/>
  <c r="G84" i="12"/>
  <c r="H84" i="12"/>
  <c r="I84" i="12"/>
  <c r="J84" i="12"/>
  <c r="K84" i="12"/>
  <c r="L84" i="12"/>
  <c r="M84" i="12"/>
  <c r="N84" i="12"/>
  <c r="O84" i="12"/>
  <c r="P84" i="12"/>
  <c r="G86" i="12"/>
  <c r="H86" i="12"/>
  <c r="I86" i="12"/>
  <c r="J86" i="12"/>
  <c r="K86" i="12"/>
  <c r="L86" i="12"/>
  <c r="M86" i="12"/>
  <c r="N86" i="12"/>
  <c r="O86" i="12"/>
  <c r="P86" i="12"/>
  <c r="G89" i="12"/>
  <c r="H89" i="12"/>
  <c r="I89" i="12"/>
  <c r="J89" i="12"/>
  <c r="K89" i="12"/>
  <c r="L89" i="12"/>
  <c r="M89" i="12"/>
  <c r="N89" i="12"/>
  <c r="O89" i="12"/>
  <c r="P89" i="12"/>
  <c r="G91" i="12"/>
  <c r="H91" i="12"/>
  <c r="I91" i="12"/>
  <c r="J91" i="12"/>
  <c r="K91" i="12"/>
  <c r="L91" i="12"/>
  <c r="M91" i="12"/>
  <c r="N91" i="12"/>
  <c r="O91" i="12"/>
  <c r="P91" i="12"/>
  <c r="G92" i="12"/>
  <c r="H92" i="12"/>
  <c r="I92" i="12"/>
  <c r="J92" i="12"/>
  <c r="K92" i="12"/>
  <c r="L92" i="12"/>
  <c r="M92" i="12"/>
  <c r="N92" i="12"/>
  <c r="O92" i="12"/>
  <c r="P92" i="12"/>
  <c r="G94" i="12"/>
  <c r="H94" i="12"/>
  <c r="I94" i="12"/>
  <c r="J94" i="12"/>
  <c r="K94" i="12"/>
  <c r="L94" i="12"/>
  <c r="M94" i="12"/>
  <c r="N94" i="12"/>
  <c r="O94" i="12"/>
  <c r="P94" i="12"/>
  <c r="G97" i="12"/>
  <c r="H97" i="12"/>
  <c r="I97" i="12"/>
  <c r="J97" i="12"/>
  <c r="K97" i="12"/>
  <c r="L97" i="12"/>
  <c r="M97" i="12"/>
  <c r="N97" i="12"/>
  <c r="O97" i="12"/>
  <c r="P97" i="12"/>
  <c r="G103" i="12"/>
  <c r="H103" i="12"/>
  <c r="I103" i="12"/>
  <c r="J103" i="12"/>
  <c r="K103" i="12"/>
  <c r="L103" i="12"/>
  <c r="M103" i="12"/>
  <c r="N103" i="12"/>
  <c r="O103" i="12"/>
  <c r="P103" i="12"/>
  <c r="G109" i="12"/>
  <c r="H109" i="12"/>
  <c r="I109" i="12"/>
  <c r="J109" i="12"/>
  <c r="K109" i="12"/>
  <c r="L109" i="12"/>
  <c r="M109" i="12"/>
  <c r="N109" i="12"/>
  <c r="O109" i="12"/>
  <c r="P109" i="12"/>
  <c r="G111" i="12"/>
  <c r="H111" i="12"/>
  <c r="I111" i="12"/>
  <c r="J111" i="12"/>
  <c r="K111" i="12"/>
  <c r="L111" i="12"/>
  <c r="M111" i="12"/>
  <c r="N111" i="12"/>
  <c r="O111" i="12"/>
  <c r="P111" i="12"/>
  <c r="H113" i="12"/>
  <c r="I113" i="12"/>
  <c r="J113" i="12"/>
  <c r="K113" i="12"/>
  <c r="L113" i="12"/>
  <c r="M113" i="12"/>
  <c r="N113" i="12"/>
  <c r="O113" i="12"/>
  <c r="P113" i="12"/>
  <c r="G114" i="12"/>
  <c r="H114" i="12"/>
  <c r="I114" i="12"/>
  <c r="J114" i="12"/>
  <c r="K114" i="12"/>
  <c r="L114" i="12"/>
  <c r="M114" i="12"/>
  <c r="N114" i="12"/>
  <c r="O114" i="12"/>
  <c r="P114" i="12"/>
  <c r="G115" i="12"/>
  <c r="H115" i="12"/>
  <c r="I115" i="12"/>
  <c r="J115" i="12"/>
  <c r="K115" i="12"/>
  <c r="L115" i="12"/>
  <c r="M115" i="12"/>
  <c r="N115" i="12"/>
  <c r="O115" i="12"/>
  <c r="P115" i="12"/>
  <c r="G118" i="12"/>
  <c r="H118" i="12"/>
  <c r="I118" i="12"/>
  <c r="J118" i="12"/>
  <c r="K118" i="12"/>
  <c r="L118" i="12"/>
  <c r="M118" i="12"/>
  <c r="N118" i="12"/>
  <c r="O118" i="12"/>
  <c r="P118" i="12"/>
  <c r="G120" i="12"/>
  <c r="H120" i="12"/>
  <c r="I120" i="12"/>
  <c r="J120" i="12"/>
  <c r="K120" i="12"/>
  <c r="L120" i="12"/>
  <c r="M120" i="12"/>
  <c r="N120" i="12"/>
  <c r="O120" i="12"/>
  <c r="P120" i="12"/>
  <c r="G125" i="12"/>
  <c r="H125" i="12"/>
  <c r="I125" i="12"/>
  <c r="J125" i="12"/>
  <c r="K125" i="12"/>
  <c r="L125" i="12"/>
  <c r="M125" i="12"/>
  <c r="N125" i="12"/>
  <c r="O125" i="12"/>
  <c r="P125" i="12"/>
  <c r="H132" i="12"/>
  <c r="I132" i="12"/>
  <c r="J132" i="12"/>
  <c r="K132" i="12"/>
  <c r="L132" i="12"/>
  <c r="M132" i="12"/>
  <c r="N132" i="12"/>
  <c r="O132" i="12"/>
  <c r="P132" i="12"/>
  <c r="G133" i="12"/>
  <c r="H133" i="12"/>
  <c r="I133" i="12"/>
  <c r="J133" i="12"/>
  <c r="K133" i="12"/>
  <c r="L133" i="12"/>
  <c r="M133" i="12"/>
  <c r="N133" i="12"/>
  <c r="O133" i="12"/>
  <c r="P133" i="12"/>
  <c r="G136" i="12"/>
  <c r="H136" i="12"/>
  <c r="I136" i="12"/>
  <c r="J136" i="12"/>
  <c r="K136" i="12"/>
  <c r="L136" i="12"/>
  <c r="M136" i="12"/>
  <c r="N136" i="12"/>
  <c r="O136" i="12"/>
  <c r="P136" i="12"/>
  <c r="G137" i="12"/>
  <c r="H137" i="12"/>
  <c r="I137" i="12"/>
  <c r="J137" i="12"/>
  <c r="K137" i="12"/>
  <c r="L137" i="12"/>
  <c r="M137" i="12"/>
  <c r="N137" i="12"/>
  <c r="O137" i="12"/>
  <c r="P137" i="12"/>
  <c r="G138" i="12"/>
  <c r="H138" i="12"/>
  <c r="I138" i="12"/>
  <c r="J138" i="12"/>
  <c r="K138" i="12"/>
  <c r="L138" i="12"/>
  <c r="M138" i="12"/>
  <c r="N138" i="12"/>
  <c r="O138" i="12"/>
  <c r="P138" i="12"/>
  <c r="G139" i="12"/>
  <c r="H139" i="12"/>
  <c r="I139" i="12"/>
  <c r="J139" i="12"/>
  <c r="K139" i="12"/>
  <c r="L139" i="12"/>
  <c r="M139" i="12"/>
  <c r="N139" i="12"/>
  <c r="O139" i="12"/>
  <c r="P139" i="12"/>
  <c r="J34" i="10"/>
  <c r="J35" i="10"/>
  <c r="AK39" i="10"/>
  <c r="AK40" i="10"/>
  <c r="C5" i="17"/>
  <c r="C6" i="1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Debs Taylor</author>
    <author>Financial Edge</author>
    <author>Amgad</author>
  </authors>
  <commentList>
    <comment ref="M13" authorId="0" shapeId="0" xr:uid="{675B2664-9392-43C0-B516-23DF08EFB29E}">
      <text>
        <r>
          <rPr>
            <b/>
            <sz val="9"/>
            <color indexed="81"/>
            <rFont val="Tahoma"/>
            <family val="2"/>
          </rPr>
          <t>Amgad:</t>
        </r>
        <r>
          <rPr>
            <sz val="9"/>
            <color indexed="81"/>
            <rFont val="Tahoma"/>
            <family val="2"/>
          </rPr>
          <t xml:space="preserve">
Global energy drink industry CAGR c.8 % for 2025-2030  </t>
        </r>
      </text>
    </comment>
    <comment ref="G20" authorId="1" shapeId="0" xr:uid="{D8541854-96B3-4B7F-9E4B-D3112CE05411}">
      <text>
        <r>
          <rPr>
            <b/>
            <sz val="9"/>
            <color indexed="81"/>
            <rFont val="Tahoma"/>
            <family val="2"/>
          </rPr>
          <t>Amgad:</t>
        </r>
        <r>
          <rPr>
            <sz val="9"/>
            <color indexed="81"/>
            <rFont val="Tahoma"/>
            <family val="2"/>
          </rPr>
          <t xml:space="preserve">
Tax rate reduction effective 1st Jan 2024</t>
        </r>
      </text>
    </comment>
    <comment ref="G21" authorId="2" shapeId="0" xr:uid="{95CD064C-3EA9-4A35-B2F7-48127C20CBBA}">
      <text>
        <r>
          <rPr>
            <b/>
            <sz val="9"/>
            <color indexed="81"/>
            <rFont val="Tahoma"/>
            <family val="2"/>
          </rPr>
          <t>Amgad:</t>
        </r>
        <r>
          <rPr>
            <sz val="9"/>
            <color indexed="81"/>
            <rFont val="Tahoma"/>
            <family val="2"/>
          </rPr>
          <t xml:space="preserve">
60% payout ratio according to Bloomberg</t>
        </r>
      </text>
    </comment>
    <comment ref="G50" authorId="2" shapeId="0" xr:uid="{720EF73D-DFD8-472A-B6D7-72E261BB0770}">
      <text>
        <r>
          <rPr>
            <b/>
            <sz val="9"/>
            <color indexed="81"/>
            <rFont val="Tahoma"/>
            <family val="2"/>
          </rPr>
          <t>Amgad:</t>
        </r>
        <r>
          <rPr>
            <sz val="9"/>
            <color indexed="81"/>
            <rFont val="Tahoma"/>
            <family val="2"/>
          </rPr>
          <t xml:space="preserve">
Estimated: FY2023 regional mix (36.4%) × FY2024 actual total revenue. No regional breakdown disclosed.</t>
        </r>
      </text>
    </comment>
    <comment ref="H50" authorId="2" shapeId="0" xr:uid="{3D5D6A1E-47B4-437A-A620-64CB6C09B51F}">
      <text>
        <r>
          <rPr>
            <b/>
            <sz val="9"/>
            <color indexed="81"/>
            <rFont val="Tahoma"/>
            <family val="2"/>
          </rPr>
          <t>Estimated: FY2023 regional mix (36.4%) × FY2025 actual total revenue. No regional breakdown disclosed.</t>
        </r>
      </text>
    </comment>
    <comment ref="G51" authorId="2" shapeId="0" xr:uid="{81A163B1-4747-44FA-B197-04BD599CD760}">
      <text>
        <r>
          <rPr>
            <b/>
            <sz val="9"/>
            <color indexed="81"/>
            <rFont val="Tahoma"/>
            <family val="2"/>
          </rPr>
          <t>Amgad:</t>
        </r>
        <r>
          <rPr>
            <sz val="9"/>
            <color indexed="81"/>
            <rFont val="Tahoma"/>
            <family val="2"/>
          </rPr>
          <t xml:space="preserve">
Estimated: FY2023 regional mix (43.2%) × FY2024 actual total revenue. No regional breakdown disclosed.</t>
        </r>
      </text>
    </comment>
    <comment ref="H51" authorId="2" shapeId="0" xr:uid="{4EDCD73A-0D6B-4652-B209-FA76C47E2A01}">
      <text>
        <r>
          <rPr>
            <b/>
            <sz val="9"/>
            <color indexed="81"/>
            <rFont val="Tahoma"/>
            <family val="2"/>
          </rPr>
          <t>Estimated: FY2023 regional mix (43.2%) × FY2025 actual total revenue. No regional breakdown disclosed.</t>
        </r>
      </text>
    </comment>
    <comment ref="G52" authorId="2" shapeId="0" xr:uid="{70D99C1D-D4B5-4514-AFB5-5B6A9EDE4D01}">
      <text>
        <r>
          <rPr>
            <b/>
            <sz val="9"/>
            <color indexed="81"/>
            <rFont val="Tahoma"/>
            <family val="2"/>
          </rPr>
          <t>Amgad:</t>
        </r>
        <r>
          <rPr>
            <sz val="9"/>
            <color indexed="81"/>
            <rFont val="Tahoma"/>
            <family val="2"/>
          </rPr>
          <t xml:space="preserve">
Estimated: FY2023 regional mix (9.1%) × FY2024 actual total revenue. No regional breakdown disclosed.</t>
        </r>
      </text>
    </comment>
    <comment ref="H52" authorId="2" shapeId="0" xr:uid="{49E930DE-752F-4DB2-AC56-FF41735B6ABC}">
      <text>
        <r>
          <rPr>
            <b/>
            <sz val="9"/>
            <color indexed="81"/>
            <rFont val="Tahoma"/>
            <family val="2"/>
          </rPr>
          <t>Estimated: FY2023 regional mix (9.1%) × FY2025 actual total revenue. No regional breakdown disclosed.</t>
        </r>
      </text>
    </comment>
    <comment ref="G53" authorId="2" shapeId="0" xr:uid="{EB1E6D36-5C35-4DE3-8C96-66C7A398E9A8}">
      <text>
        <r>
          <rPr>
            <b/>
            <sz val="9"/>
            <color indexed="81"/>
            <rFont val="Tahoma"/>
            <family val="2"/>
          </rPr>
          <t>Amgad:</t>
        </r>
        <r>
          <rPr>
            <sz val="9"/>
            <color indexed="81"/>
            <rFont val="Tahoma"/>
            <family val="2"/>
          </rPr>
          <t xml:space="preserve">
Estimated: FY2023 regional mix (11.3%) × FY2024 actual total revenue. No regional breakdown disclosed.</t>
        </r>
      </text>
    </comment>
    <comment ref="H53" authorId="2" shapeId="0" xr:uid="{2C10F29E-3AFC-4954-A35C-B134D0E9FE5A}">
      <text>
        <r>
          <rPr>
            <b/>
            <sz val="9"/>
            <color indexed="81"/>
            <rFont val="Tahoma"/>
            <family val="2"/>
          </rPr>
          <t>Estimated: FY2023 regional mix (11.3%) × FY2025 actual total revenue. No regional breakdown disclosed.</t>
        </r>
      </text>
    </comment>
    <comment ref="G54" authorId="2" shapeId="0" xr:uid="{94CC6616-6AC8-49D2-94D0-20B00568D431}">
      <text>
        <r>
          <rPr>
            <b/>
            <sz val="9"/>
            <color indexed="81"/>
            <rFont val="Tahoma"/>
            <family val="2"/>
          </rPr>
          <t>Amgad:</t>
        </r>
        <r>
          <rPr>
            <sz val="9"/>
            <color indexed="81"/>
            <rFont val="Tahoma"/>
            <family val="2"/>
          </rPr>
          <t xml:space="preserve">
Red bull FY 2024 reported revenue</t>
        </r>
      </text>
    </comment>
    <comment ref="H54" authorId="2" shapeId="0" xr:uid="{40CAEE06-670E-4004-9F54-2CFE491BF3BF}">
      <text>
        <r>
          <rPr>
            <b/>
            <sz val="9"/>
            <color indexed="81"/>
            <rFont val="Tahoma"/>
            <family val="2"/>
          </rPr>
          <t>Amgad:</t>
        </r>
        <r>
          <rPr>
            <sz val="9"/>
            <color indexed="81"/>
            <rFont val="Tahoma"/>
            <family val="2"/>
          </rPr>
          <t xml:space="preserve">
Red bull FY 2025 reported revenue</t>
        </r>
      </text>
    </comment>
    <comment ref="G55" authorId="2" shapeId="0" xr:uid="{5A8C910B-1EEC-4794-A35A-0FF603078599}">
      <text>
        <r>
          <rPr>
            <b/>
            <sz val="9"/>
            <color indexed="81"/>
            <rFont val="Tahoma"/>
            <family val="2"/>
          </rPr>
          <t>Amgad:</t>
        </r>
        <r>
          <rPr>
            <sz val="9"/>
            <color indexed="81"/>
            <rFont val="Tahoma"/>
            <family val="2"/>
          </rPr>
          <t xml:space="preserve">
Estimated: FY2023 cogs (32.7%) × FY2024 actual total revenue. No cogs figure disclosed.</t>
        </r>
      </text>
    </comment>
    <comment ref="H55" authorId="2" shapeId="0" xr:uid="{08ABF36E-260C-4BCC-A36F-0B6AFB39E3D8}">
      <text>
        <r>
          <rPr>
            <b/>
            <sz val="9"/>
            <color indexed="81"/>
            <rFont val="Tahoma"/>
            <family val="2"/>
          </rPr>
          <t>Amgad:</t>
        </r>
        <r>
          <rPr>
            <sz val="9"/>
            <color indexed="81"/>
            <rFont val="Tahoma"/>
            <family val="2"/>
          </rPr>
          <t xml:space="preserve">
Estimated: FY2023 cogs (32.7%) × FY2025 actual total revenue. No cogs figure disclosed.</t>
        </r>
      </text>
    </comment>
    <comment ref="C126" authorId="1" shapeId="0" xr:uid="{F383C82F-8A61-4A7A-A640-74DF580294BB}">
      <text>
        <r>
          <rPr>
            <b/>
            <sz val="9"/>
            <color indexed="81"/>
            <rFont val="Tahoma"/>
            <family val="2"/>
          </rPr>
          <t>Amgad:</t>
        </r>
        <r>
          <rPr>
            <sz val="9"/>
            <color indexed="81"/>
            <rFont val="Tahoma"/>
            <family val="2"/>
          </rPr>
          <t xml:space="preserve">
Source: Red Bull website</t>
        </r>
      </text>
    </comment>
    <comment ref="D126" authorId="1" shapeId="0" xr:uid="{721CFF07-8D05-4F81-A5A8-DFDD27C9DC28}">
      <text>
        <r>
          <rPr>
            <b/>
            <sz val="9"/>
            <color indexed="81"/>
            <rFont val="Tahoma"/>
            <family val="2"/>
          </rPr>
          <t>Amgad:</t>
        </r>
        <r>
          <rPr>
            <sz val="9"/>
            <color indexed="81"/>
            <rFont val="Tahoma"/>
            <family val="2"/>
          </rPr>
          <t xml:space="preserve">
Source: Red Bull website</t>
        </r>
      </text>
    </comment>
    <comment ref="E126" authorId="1" shapeId="0" xr:uid="{FFF40E4A-299F-48E3-92BF-0365BB7E0F96}">
      <text>
        <r>
          <rPr>
            <b/>
            <sz val="9"/>
            <color indexed="81"/>
            <rFont val="Tahoma"/>
            <family val="2"/>
          </rPr>
          <t>Amgad:</t>
        </r>
        <r>
          <rPr>
            <sz val="9"/>
            <color indexed="81"/>
            <rFont val="Tahoma"/>
            <family val="2"/>
          </rPr>
          <t xml:space="preserve">
Source: Red Bull website</t>
        </r>
      </text>
    </comment>
    <comment ref="F126" authorId="1" shapeId="0" xr:uid="{41397777-A22B-4E15-AF25-6868DA810D69}">
      <text>
        <r>
          <rPr>
            <b/>
            <sz val="9"/>
            <color indexed="81"/>
            <rFont val="Tahoma"/>
            <family val="2"/>
          </rPr>
          <t>Amgad:</t>
        </r>
        <r>
          <rPr>
            <sz val="9"/>
            <color indexed="81"/>
            <rFont val="Tahoma"/>
            <family val="2"/>
          </rPr>
          <t xml:space="preserve">
Source: Red Bull website</t>
        </r>
      </text>
    </comment>
    <comment ref="G126" authorId="1" shapeId="0" xr:uid="{182905A2-2E01-4122-A4B3-62835B601447}">
      <text>
        <r>
          <rPr>
            <b/>
            <sz val="9"/>
            <color indexed="81"/>
            <rFont val="Tahoma"/>
            <family val="2"/>
          </rPr>
          <t>Amgad:</t>
        </r>
        <r>
          <rPr>
            <sz val="9"/>
            <color indexed="81"/>
            <rFont val="Tahoma"/>
            <family val="2"/>
          </rPr>
          <t xml:space="preserve">
Source: Red Bull website</t>
        </r>
      </text>
    </comment>
    <comment ref="H126" authorId="1" shapeId="0" xr:uid="{306F5C1B-4767-417A-A346-D7259A47F167}">
      <text>
        <r>
          <rPr>
            <b/>
            <sz val="9"/>
            <color indexed="81"/>
            <rFont val="Tahoma"/>
            <family val="2"/>
          </rPr>
          <t>Amgad:</t>
        </r>
        <r>
          <rPr>
            <sz val="9"/>
            <color indexed="81"/>
            <rFont val="Tahoma"/>
            <family val="2"/>
          </rPr>
          <t xml:space="preserve">
Source: Red Bull website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Financial Edge</author>
  </authors>
  <commentList>
    <comment ref="D17" authorId="0" shapeId="0" xr:uid="{BDBF1DAA-B0B0-43D2-9113-D4178CF6C84D}">
      <text>
        <r>
          <rPr>
            <b/>
            <sz val="9"/>
            <color indexed="81"/>
            <rFont val="Tahoma"/>
            <family val="2"/>
          </rPr>
          <t>Amgad:</t>
        </r>
        <r>
          <rPr>
            <sz val="9"/>
            <color indexed="81"/>
            <rFont val="Tahoma"/>
            <family val="2"/>
          </rPr>
          <t xml:space="preserve">
German 10 year government bond yield. Source: TradingEconomics</t>
        </r>
      </text>
    </comment>
    <comment ref="D18" authorId="0" shapeId="0" xr:uid="{A3D8AD8F-D550-41AE-87E7-CD5D6524E891}">
      <text>
        <r>
          <rPr>
            <b/>
            <sz val="9"/>
            <color indexed="81"/>
            <rFont val="Tahoma"/>
            <family val="2"/>
          </rPr>
          <t xml:space="preserve">Amgad:
</t>
        </r>
        <r>
          <rPr>
            <sz val="9"/>
            <color indexed="81"/>
            <rFont val="Tahoma"/>
            <family val="2"/>
          </rPr>
          <t>A</t>
        </r>
        <r>
          <rPr>
            <b/>
            <sz val="9"/>
            <color indexed="81"/>
            <rFont val="Tahoma"/>
            <family val="2"/>
          </rPr>
          <t xml:space="preserve"> </t>
        </r>
        <r>
          <rPr>
            <sz val="9"/>
            <color indexed="81"/>
            <rFont val="Tahoma"/>
            <family val="2"/>
          </rPr>
          <t>4.23% Mature Market ERP and a 0.35% Country risk premium given Redbull's emerging market exposure
Source: Damodaran</t>
        </r>
      </text>
    </comment>
    <comment ref="D26" authorId="0" shapeId="0" xr:uid="{F64FAB8B-EA2A-4EF6-9515-D84EA8628E5C}">
      <text>
        <r>
          <rPr>
            <b/>
            <sz val="9"/>
            <color indexed="81"/>
            <rFont val="Tahoma"/>
            <family val="2"/>
          </rPr>
          <t>Amgad:</t>
        </r>
        <r>
          <rPr>
            <sz val="9"/>
            <color indexed="81"/>
            <rFont val="Tahoma"/>
            <family val="2"/>
          </rPr>
          <t xml:space="preserve">
Assuming Redbull is A rated. 10 year credit spread.
Source: Felix/Europe/Discount Rate</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Financial Edge</author>
  </authors>
  <commentList>
    <comment ref="H28" authorId="0" shapeId="0" xr:uid="{9FF5AC64-2A9C-44CB-80FD-D7996E13BB2E}">
      <text>
        <r>
          <rPr>
            <b/>
            <sz val="9"/>
            <color indexed="81"/>
            <rFont val="Tahoma"/>
            <family val="2"/>
          </rPr>
          <t>Amgad:</t>
        </r>
        <r>
          <rPr>
            <sz val="9"/>
            <color indexed="81"/>
            <rFont val="Tahoma"/>
            <family val="2"/>
          </rPr>
          <t xml:space="preserve">
Linked to growth in invested capital in the terminal year</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Amgad</author>
    <author>Financial Edge</author>
  </authors>
  <commentList>
    <comment ref="J14" authorId="0" shapeId="0" xr:uid="{8949C2C5-4103-49FB-A709-6DEC7F6B9A6F}">
      <text>
        <r>
          <rPr>
            <b/>
            <sz val="9"/>
            <color indexed="81"/>
            <rFont val="Tahoma"/>
            <family val="2"/>
          </rPr>
          <t>Amgad:</t>
        </r>
        <r>
          <rPr>
            <sz val="9"/>
            <color indexed="81"/>
            <rFont val="Tahoma"/>
            <family val="2"/>
          </rPr>
          <t xml:space="preserve">
Current Share Price / 27e EPS</t>
        </r>
      </text>
    </comment>
    <comment ref="J15" authorId="0" shapeId="0" xr:uid="{C612639D-E3B1-4AAA-B2C9-3AE7ADBBAB3E}">
      <text>
        <r>
          <rPr>
            <b/>
            <sz val="9"/>
            <color indexed="81"/>
            <rFont val="Tahoma"/>
            <family val="2"/>
          </rPr>
          <t>Amgad:</t>
        </r>
        <r>
          <rPr>
            <sz val="9"/>
            <color indexed="81"/>
            <rFont val="Tahoma"/>
            <family val="2"/>
          </rPr>
          <t xml:space="preserve">
Current Share Price / 27e EPS</t>
        </r>
      </text>
    </comment>
    <comment ref="J16" authorId="0" shapeId="0" xr:uid="{2E6DF804-4164-4F6D-AB0B-3A8832A47120}">
      <text>
        <r>
          <rPr>
            <b/>
            <sz val="9"/>
            <color indexed="81"/>
            <rFont val="Tahoma"/>
            <family val="2"/>
          </rPr>
          <t>Amgad:</t>
        </r>
        <r>
          <rPr>
            <sz val="9"/>
            <color indexed="81"/>
            <rFont val="Tahoma"/>
            <family val="2"/>
          </rPr>
          <t xml:space="preserve">
Current Share Price / 27e EPS</t>
        </r>
      </text>
    </comment>
    <comment ref="I17" authorId="0" shapeId="0" xr:uid="{995F634B-388F-4E81-807C-33C9D5545703}">
      <text>
        <r>
          <rPr>
            <b/>
            <sz val="9"/>
            <color indexed="81"/>
            <rFont val="Tahoma"/>
            <family val="2"/>
          </rPr>
          <t>Amgad:</t>
        </r>
        <r>
          <rPr>
            <sz val="9"/>
            <color indexed="81"/>
            <rFont val="Tahoma"/>
            <family val="2"/>
          </rPr>
          <t xml:space="preserve">
Current Share Price / 26e EPS</t>
        </r>
      </text>
    </comment>
    <comment ref="J17" authorId="0" shapeId="0" xr:uid="{716E8B65-43F1-41F9-9438-CD71F86EC3D7}">
      <text>
        <r>
          <rPr>
            <b/>
            <sz val="9"/>
            <color indexed="81"/>
            <rFont val="Tahoma"/>
            <family val="2"/>
          </rPr>
          <t>Amgad:</t>
        </r>
        <r>
          <rPr>
            <sz val="9"/>
            <color indexed="81"/>
            <rFont val="Tahoma"/>
            <family val="2"/>
          </rPr>
          <t xml:space="preserve">
Current Share Price / 27e EPS</t>
        </r>
      </text>
    </comment>
    <comment ref="BG17" authorId="1" shapeId="0" xr:uid="{05FC0F84-D0AC-4DC1-8F92-45422187639F}">
      <text>
        <r>
          <rPr>
            <b/>
            <sz val="9"/>
            <color indexed="81"/>
            <rFont val="Tahoma"/>
            <family val="2"/>
          </rPr>
          <t>Amgad:</t>
        </r>
        <r>
          <rPr>
            <sz val="9"/>
            <color indexed="81"/>
            <rFont val="Tahoma"/>
            <family val="2"/>
          </rPr>
          <t xml:space="preserve">
Negligible finance leases</t>
        </r>
      </text>
    </comment>
    <comment ref="I18" authorId="0" shapeId="0" xr:uid="{9AF60C8C-618D-4340-A1C1-DFA72AFE6D53}">
      <text>
        <r>
          <rPr>
            <b/>
            <sz val="9"/>
            <color indexed="81"/>
            <rFont val="Tahoma"/>
            <family val="2"/>
          </rPr>
          <t>Amgad:</t>
        </r>
        <r>
          <rPr>
            <sz val="9"/>
            <color indexed="81"/>
            <rFont val="Tahoma"/>
            <family val="2"/>
          </rPr>
          <t xml:space="preserve">
Current Share Price / 26e EPS</t>
        </r>
      </text>
    </comment>
    <comment ref="J18" authorId="0" shapeId="0" xr:uid="{71EE2123-6687-4954-855F-E3AE4E7754A2}">
      <text>
        <r>
          <rPr>
            <b/>
            <sz val="9"/>
            <color indexed="81"/>
            <rFont val="Tahoma"/>
            <family val="2"/>
          </rPr>
          <t>Amgad:</t>
        </r>
        <r>
          <rPr>
            <sz val="9"/>
            <color indexed="81"/>
            <rFont val="Tahoma"/>
            <family val="2"/>
          </rPr>
          <t xml:space="preserve">
Current Share Price / 27e EPS</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Amgad</author>
    <author>Financial Edge</author>
  </authors>
  <commentList>
    <comment ref="C19" authorId="0" shapeId="0" xr:uid="{B7A7EE08-196E-4333-A30B-B99CE733ECF4}">
      <text>
        <r>
          <rPr>
            <b/>
            <sz val="9"/>
            <color indexed="81"/>
            <rFont val="Tahoma"/>
            <family val="2"/>
          </rPr>
          <t>Amgad:</t>
        </r>
        <r>
          <rPr>
            <sz val="9"/>
            <color indexed="81"/>
            <rFont val="Tahoma"/>
            <family val="2"/>
          </rPr>
          <t xml:space="preserve">
S&amp;P Global Ratings</t>
        </r>
      </text>
    </comment>
    <comment ref="C21" authorId="0" shapeId="0" xr:uid="{4F936271-881D-48E2-943C-E7C7D1EB8368}">
      <text>
        <r>
          <rPr>
            <b/>
            <sz val="9"/>
            <color indexed="81"/>
            <rFont val="Tahoma"/>
            <family val="2"/>
          </rPr>
          <t xml:space="preserve">Amgad:
</t>
        </r>
        <r>
          <rPr>
            <sz val="9"/>
            <color indexed="81"/>
            <rFont val="Tahoma"/>
            <family val="2"/>
          </rPr>
          <t>Taking a conservative estimte within a low 6 to mid-high 7 % range</t>
        </r>
      </text>
    </comment>
    <comment ref="I54" authorId="0" shapeId="0" xr:uid="{3C22724C-16F1-453E-BF44-B3C0AAF9E23D}">
      <text>
        <r>
          <rPr>
            <b/>
            <sz val="9"/>
            <color indexed="81"/>
            <rFont val="Tahoma"/>
            <family val="2"/>
          </rPr>
          <t>Amgad:</t>
        </r>
        <r>
          <rPr>
            <sz val="9"/>
            <color indexed="81"/>
            <rFont val="Tahoma"/>
            <family val="2"/>
          </rPr>
          <t xml:space="preserve">
Assumed a flat D&amp;A - Coca Cola tends to float between 1000 and 1200</t>
        </r>
      </text>
    </comment>
    <comment ref="J54" authorId="0" shapeId="0" xr:uid="{B1C63DC0-9860-42F3-84D4-2DE1CADEBC13}">
      <text>
        <r>
          <rPr>
            <b/>
            <sz val="9"/>
            <color indexed="81"/>
            <rFont val="Tahoma"/>
            <family val="2"/>
          </rPr>
          <t>Amgad:</t>
        </r>
        <r>
          <rPr>
            <sz val="9"/>
            <color indexed="81"/>
            <rFont val="Tahoma"/>
            <family val="2"/>
          </rPr>
          <t xml:space="preserve">
Assumed a flat D&amp;A - Coca Cola tends to float between 1000 and 1200</t>
        </r>
      </text>
    </comment>
    <comment ref="K54" authorId="0" shapeId="0" xr:uid="{A36E11CE-2DCA-482F-BA1E-E0011CA969A6}">
      <text>
        <r>
          <rPr>
            <b/>
            <sz val="9"/>
            <color indexed="81"/>
            <rFont val="Tahoma"/>
            <family val="2"/>
          </rPr>
          <t>Amgad:</t>
        </r>
        <r>
          <rPr>
            <sz val="9"/>
            <color indexed="81"/>
            <rFont val="Tahoma"/>
            <family val="2"/>
          </rPr>
          <t xml:space="preserve">
Assumed a flat D&amp;A - Coca Cola tends to float between 1000 and 1200</t>
        </r>
      </text>
    </comment>
    <comment ref="I62" authorId="1" shapeId="0" xr:uid="{60D598F8-5742-4EB5-9D2C-0134B71F0D08}">
      <text>
        <r>
          <rPr>
            <b/>
            <sz val="9"/>
            <color indexed="81"/>
            <rFont val="Tahoma"/>
            <family val="2"/>
          </rPr>
          <t>Amgad:</t>
        </r>
        <r>
          <rPr>
            <sz val="9"/>
            <color indexed="81"/>
            <rFont val="Tahoma"/>
            <family val="2"/>
          </rPr>
          <t xml:space="preserve">
Operating lease rental expense assumed to grow in line with revenue</t>
        </r>
      </text>
    </comment>
    <comment ref="J62" authorId="1" shapeId="0" xr:uid="{FBA461BA-7B2D-44AF-A83F-339F41DE8B55}">
      <text>
        <r>
          <rPr>
            <b/>
            <sz val="9"/>
            <color indexed="81"/>
            <rFont val="Tahoma"/>
            <family val="2"/>
          </rPr>
          <t>Amgad:</t>
        </r>
        <r>
          <rPr>
            <sz val="9"/>
            <color indexed="81"/>
            <rFont val="Tahoma"/>
            <family val="2"/>
          </rPr>
          <t xml:space="preserve">
Operating lease rental expense assumed to grow in line with revenue</t>
        </r>
      </text>
    </comment>
    <comment ref="K62" authorId="1" shapeId="0" xr:uid="{2895E4BA-586E-4703-A356-1EE1F4BFDA63}">
      <text>
        <r>
          <rPr>
            <b/>
            <sz val="9"/>
            <color indexed="81"/>
            <rFont val="Tahoma"/>
            <family val="2"/>
          </rPr>
          <t>Amgad:</t>
        </r>
        <r>
          <rPr>
            <sz val="9"/>
            <color indexed="81"/>
            <rFont val="Tahoma"/>
            <family val="2"/>
          </rPr>
          <t xml:space="preserve">
Operating lease rental expense assumed to grow in line with revenue</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Amgad</author>
    <author>Financial Edge</author>
  </authors>
  <commentList>
    <comment ref="C19" authorId="0" shapeId="0" xr:uid="{B9002535-FD9B-4989-883B-BA781B574420}">
      <text>
        <r>
          <rPr>
            <b/>
            <sz val="9"/>
            <color indexed="81"/>
            <rFont val="Tahoma"/>
            <family val="2"/>
          </rPr>
          <t>Amgad:</t>
        </r>
        <r>
          <rPr>
            <sz val="9"/>
            <color indexed="81"/>
            <rFont val="Tahoma"/>
            <family val="2"/>
          </rPr>
          <t xml:space="preserve">
S&amp;P Global Ratings</t>
        </r>
      </text>
    </comment>
    <comment ref="J31" authorId="0" shapeId="0" xr:uid="{356F3EC4-1524-4245-803E-AFC38994CBFE}">
      <text>
        <r>
          <rPr>
            <b/>
            <sz val="9"/>
            <color indexed="81"/>
            <rFont val="Tahoma"/>
            <family val="2"/>
          </rPr>
          <t>Amgad:</t>
        </r>
        <r>
          <rPr>
            <sz val="9"/>
            <color indexed="81"/>
            <rFont val="Tahoma"/>
            <family val="2"/>
          </rPr>
          <t xml:space="preserve">
Includes 53 of restricted cash and equivalents. Included because it is current, i.e &lt;12months.</t>
        </r>
      </text>
    </comment>
    <comment ref="C47" authorId="1" shapeId="0" xr:uid="{23DABE2A-5F7E-42B9-9126-43D967456C21}">
      <text>
        <r>
          <rPr>
            <b/>
            <sz val="9"/>
            <color indexed="81"/>
            <rFont val="Tahoma"/>
            <family val="2"/>
          </rPr>
          <t>Amgad:</t>
        </r>
        <r>
          <rPr>
            <sz val="9"/>
            <color indexed="81"/>
            <rFont val="Tahoma"/>
            <family val="2"/>
          </rPr>
          <t xml:space="preserve">
The company has added back this item. We reverse this here, given we are looking for recurring revnue. Amortization is included in the EBITDA calculation later</t>
        </r>
      </text>
    </comment>
    <comment ref="D47" authorId="1" shapeId="0" xr:uid="{24AE98D6-0F35-43A8-A055-D8638F132D72}">
      <text>
        <r>
          <rPr>
            <b/>
            <sz val="9"/>
            <color indexed="81"/>
            <rFont val="Tahoma"/>
            <family val="2"/>
          </rPr>
          <t>Amgad:</t>
        </r>
        <r>
          <rPr>
            <sz val="9"/>
            <color indexed="81"/>
            <rFont val="Tahoma"/>
            <family val="2"/>
          </rPr>
          <t xml:space="preserve">
The company has added back this item. We reverse this here, given we are looking for recurring revnue. Amortization is included in the EBITDA calculation later</t>
        </r>
      </text>
    </comment>
    <comment ref="E47" authorId="1" shapeId="0" xr:uid="{4BF3FC27-7D61-4A2A-A5BA-376462D2F751}">
      <text>
        <r>
          <rPr>
            <b/>
            <sz val="9"/>
            <color indexed="81"/>
            <rFont val="Tahoma"/>
            <family val="2"/>
          </rPr>
          <t>Amgad:</t>
        </r>
        <r>
          <rPr>
            <sz val="9"/>
            <color indexed="81"/>
            <rFont val="Tahoma"/>
            <family val="2"/>
          </rPr>
          <t xml:space="preserve">
The company has added back this item. We reverse this here, given we are looking for recurring revnue. Amortization is included in the EBITDA calculation later</t>
        </r>
      </text>
    </comment>
    <comment ref="C48" authorId="1" shapeId="0" xr:uid="{B893E55C-E393-4C5E-9CF8-17DA0D1CDC01}">
      <text>
        <r>
          <rPr>
            <b/>
            <sz val="9"/>
            <color indexed="81"/>
            <rFont val="Tahoma"/>
            <family val="2"/>
          </rPr>
          <t>Amgad:</t>
        </r>
        <r>
          <rPr>
            <sz val="9"/>
            <color indexed="81"/>
            <rFont val="Tahoma"/>
            <family val="2"/>
          </rPr>
          <t xml:space="preserve">
The company has added back this item. We reverse this here, given we are looking for recurring revnue. Amortization is included in the EBITDA calculation later</t>
        </r>
      </text>
    </comment>
    <comment ref="D48" authorId="1" shapeId="0" xr:uid="{3B4A1027-5B16-4731-A7E3-BF31FF7D47E3}">
      <text>
        <r>
          <rPr>
            <b/>
            <sz val="9"/>
            <color indexed="81"/>
            <rFont val="Tahoma"/>
            <family val="2"/>
          </rPr>
          <t>Amgad:</t>
        </r>
        <r>
          <rPr>
            <sz val="9"/>
            <color indexed="81"/>
            <rFont val="Tahoma"/>
            <family val="2"/>
          </rPr>
          <t xml:space="preserve">
The company has added back this item. We reverse this here, given we are looking for recurring revnue. Amortization is included in the EBITDA calculation later</t>
        </r>
      </text>
    </comment>
    <comment ref="E48" authorId="1" shapeId="0" xr:uid="{9404E5AD-78F3-4D98-84D9-81112EBE3588}">
      <text>
        <r>
          <rPr>
            <b/>
            <sz val="9"/>
            <color indexed="81"/>
            <rFont val="Tahoma"/>
            <family val="2"/>
          </rPr>
          <t>Amgad:</t>
        </r>
        <r>
          <rPr>
            <sz val="9"/>
            <color indexed="81"/>
            <rFont val="Tahoma"/>
            <family val="2"/>
          </rPr>
          <t xml:space="preserve">
The company has added back this item. We reverse this here, given we are looking for recurring revnue. Amortization is included in the EBITDA calculation later</t>
        </r>
      </text>
    </comment>
    <comment ref="C54" authorId="1" shapeId="0" xr:uid="{4BF1A787-10D6-4809-B28C-FAA0F461675D}">
      <text>
        <r>
          <rPr>
            <b/>
            <sz val="9"/>
            <color indexed="81"/>
            <rFont val="Tahoma"/>
            <family val="2"/>
          </rPr>
          <t>Amgad:</t>
        </r>
        <r>
          <rPr>
            <sz val="9"/>
            <color indexed="81"/>
            <rFont val="Tahoma"/>
            <family val="2"/>
          </rPr>
          <t xml:space="preserve">
"Other amortization expense" ignored. Company makes reference to amortization of financing items, derivatives, M&amp;A, etc</t>
        </r>
      </text>
    </comment>
    <comment ref="D54" authorId="1" shapeId="0" xr:uid="{4BCBBCFB-D441-48AF-87FF-8EA6892F2EDB}">
      <text>
        <r>
          <rPr>
            <b/>
            <sz val="9"/>
            <color indexed="81"/>
            <rFont val="Tahoma"/>
            <family val="2"/>
          </rPr>
          <t>Amgad:</t>
        </r>
        <r>
          <rPr>
            <sz val="9"/>
            <color indexed="81"/>
            <rFont val="Tahoma"/>
            <family val="2"/>
          </rPr>
          <t xml:space="preserve">
"Other amortization expense" ignored. Company makes reference to amortization of financing items, derivatives, M&amp;A, etc</t>
        </r>
      </text>
    </comment>
    <comment ref="E54" authorId="1" shapeId="0" xr:uid="{3029AFDE-92B4-413C-9E46-70273199A37F}">
      <text>
        <r>
          <rPr>
            <b/>
            <sz val="9"/>
            <color indexed="81"/>
            <rFont val="Tahoma"/>
            <family val="2"/>
          </rPr>
          <t>Amgad:</t>
        </r>
        <r>
          <rPr>
            <sz val="9"/>
            <color indexed="81"/>
            <rFont val="Tahoma"/>
            <family val="2"/>
          </rPr>
          <t xml:space="preserve">
"Other amortization expense" ignored. Company makes reference to amortization of financing items, derivatives, M&amp;A, etc</t>
        </r>
      </text>
    </comment>
    <comment ref="I54" authorId="0" shapeId="0" xr:uid="{7F4E07E4-7358-46B4-B4EB-0FDBA3CC2A9E}">
      <text>
        <r>
          <rPr>
            <b/>
            <sz val="9"/>
            <color indexed="81"/>
            <rFont val="Tahoma"/>
            <family val="2"/>
          </rPr>
          <t>Amgad:</t>
        </r>
        <r>
          <rPr>
            <sz val="9"/>
            <color indexed="81"/>
            <rFont val="Tahoma"/>
            <family val="2"/>
          </rPr>
          <t xml:space="preserve">
Assumed a flat D&amp;A - Keurig Dr Pepper  tends to float between 550 and 650</t>
        </r>
      </text>
    </comment>
    <comment ref="J54" authorId="0" shapeId="0" xr:uid="{C0D1F49A-EEB3-422D-B3F7-9B834F29C87A}">
      <text>
        <r>
          <rPr>
            <b/>
            <sz val="9"/>
            <color indexed="81"/>
            <rFont val="Tahoma"/>
            <family val="2"/>
          </rPr>
          <t>Amgad:</t>
        </r>
        <r>
          <rPr>
            <sz val="9"/>
            <color indexed="81"/>
            <rFont val="Tahoma"/>
            <family val="2"/>
          </rPr>
          <t xml:space="preserve">
Assumed a flat D&amp;A - Keurig Dr Pepper  tends to float between 550 and 650</t>
        </r>
      </text>
    </comment>
    <comment ref="K54" authorId="0" shapeId="0" xr:uid="{AE89356A-6A87-4515-952F-C63E966CF8F0}">
      <text>
        <r>
          <rPr>
            <b/>
            <sz val="9"/>
            <color indexed="81"/>
            <rFont val="Tahoma"/>
            <family val="2"/>
          </rPr>
          <t>Amgad:</t>
        </r>
        <r>
          <rPr>
            <sz val="9"/>
            <color indexed="81"/>
            <rFont val="Tahoma"/>
            <family val="2"/>
          </rPr>
          <t xml:space="preserve">
Assumed a flat D&amp;A - Keurig Dr Pepper  tends to float between 550 and 650</t>
        </r>
      </text>
    </comment>
    <comment ref="I62" authorId="1" shapeId="0" xr:uid="{B9EF5323-6ED0-4C19-8207-C882DE6194A8}">
      <text>
        <r>
          <rPr>
            <b/>
            <sz val="9"/>
            <color indexed="81"/>
            <rFont val="Tahoma"/>
            <family val="2"/>
          </rPr>
          <t>Amgad:</t>
        </r>
        <r>
          <rPr>
            <sz val="9"/>
            <color indexed="81"/>
            <rFont val="Tahoma"/>
            <family val="2"/>
          </rPr>
          <t xml:space="preserve">
Operating lease rental expense assumed to grow in line with revenue</t>
        </r>
      </text>
    </comment>
    <comment ref="J62" authorId="1" shapeId="0" xr:uid="{9223C974-72A9-45D0-ABA6-DD3B2A18778B}">
      <text>
        <r>
          <rPr>
            <b/>
            <sz val="9"/>
            <color indexed="81"/>
            <rFont val="Tahoma"/>
            <family val="2"/>
          </rPr>
          <t>Amgad:</t>
        </r>
        <r>
          <rPr>
            <sz val="9"/>
            <color indexed="81"/>
            <rFont val="Tahoma"/>
            <family val="2"/>
          </rPr>
          <t xml:space="preserve">
Operating lease rental expense assumed to grow in line with revenue</t>
        </r>
      </text>
    </comment>
    <comment ref="K62" authorId="1" shapeId="0" xr:uid="{3A4BCC25-ED49-4520-BADA-B055FC23A078}">
      <text>
        <r>
          <rPr>
            <b/>
            <sz val="9"/>
            <color indexed="81"/>
            <rFont val="Tahoma"/>
            <family val="2"/>
          </rPr>
          <t>Amgad:</t>
        </r>
        <r>
          <rPr>
            <sz val="9"/>
            <color indexed="81"/>
            <rFont val="Tahoma"/>
            <family val="2"/>
          </rPr>
          <t xml:space="preserve">
Operating lease rental expense assumed to grow in line with revenue</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Amgad</author>
    <author>Financial Edge</author>
  </authors>
  <commentList>
    <comment ref="C10" authorId="0" shapeId="0" xr:uid="{375928D5-FD55-4BBB-ADD1-2D9BCFA50857}">
      <text>
        <r>
          <rPr>
            <b/>
            <sz val="9"/>
            <color indexed="81"/>
            <rFont val="Tahoma"/>
            <family val="2"/>
          </rPr>
          <t>Amgad:</t>
        </r>
        <r>
          <rPr>
            <sz val="9"/>
            <color indexed="81"/>
            <rFont val="Tahoma"/>
            <family val="2"/>
          </rPr>
          <t xml:space="preserve">
Federal rate 21%, state tax minimal for Monster based in Corona, CA. Adjust if needed.</t>
        </r>
      </text>
    </comment>
    <comment ref="C21" authorId="0" shapeId="0" xr:uid="{285EC313-8D63-4051-B52D-BE2D8256073C}">
      <text>
        <r>
          <rPr>
            <b/>
            <sz val="9"/>
            <color indexed="81"/>
            <rFont val="Tahoma"/>
            <family val="2"/>
          </rPr>
          <t xml:space="preserve">Amgad:
</t>
        </r>
        <r>
          <rPr>
            <sz val="9"/>
            <color indexed="81"/>
            <rFont val="Tahoma"/>
            <family val="2"/>
          </rPr>
          <t xml:space="preserve">Taking a conservative estimte within a 12 to 14% 5 year growth rate </t>
        </r>
      </text>
    </comment>
    <comment ref="I54" authorId="0" shapeId="0" xr:uid="{AD44B355-5FA8-4765-82C2-AB19A20ED442}">
      <text>
        <r>
          <rPr>
            <b/>
            <sz val="9"/>
            <color indexed="81"/>
            <rFont val="Tahoma"/>
            <family val="2"/>
          </rPr>
          <t>Amgad:</t>
        </r>
        <r>
          <rPr>
            <sz val="9"/>
            <color indexed="81"/>
            <rFont val="Tahoma"/>
            <family val="2"/>
          </rPr>
          <t xml:space="preserve">
Assumed a flat D&amp;A in lilne with value ranges</t>
        </r>
      </text>
    </comment>
    <comment ref="J54" authorId="0" shapeId="0" xr:uid="{9111EC2D-634B-45E1-9DE4-46E3F387F5BD}">
      <text>
        <r>
          <rPr>
            <b/>
            <sz val="9"/>
            <color indexed="81"/>
            <rFont val="Tahoma"/>
            <family val="2"/>
          </rPr>
          <t>Amgad:</t>
        </r>
        <r>
          <rPr>
            <sz val="9"/>
            <color indexed="81"/>
            <rFont val="Tahoma"/>
            <family val="2"/>
          </rPr>
          <t xml:space="preserve">
Assumed a flat D&amp;A in lilne with value ranges</t>
        </r>
      </text>
    </comment>
    <comment ref="K54" authorId="0" shapeId="0" xr:uid="{CCEBA80D-14C2-4F70-B2E6-13F76E9E7B6F}">
      <text>
        <r>
          <rPr>
            <b/>
            <sz val="9"/>
            <color indexed="81"/>
            <rFont val="Tahoma"/>
            <family val="2"/>
          </rPr>
          <t>Amgad:</t>
        </r>
        <r>
          <rPr>
            <sz val="9"/>
            <color indexed="81"/>
            <rFont val="Tahoma"/>
            <family val="2"/>
          </rPr>
          <t xml:space="preserve">
Assumed a flat D&amp;A in lilne with value ranges</t>
        </r>
      </text>
    </comment>
    <comment ref="I62" authorId="1" shapeId="0" xr:uid="{A823EAF8-18CB-4176-9A2E-34A97D80EE53}">
      <text>
        <r>
          <rPr>
            <b/>
            <sz val="9"/>
            <color indexed="81"/>
            <rFont val="Tahoma"/>
            <family val="2"/>
          </rPr>
          <t>Amgad:</t>
        </r>
        <r>
          <rPr>
            <sz val="9"/>
            <color indexed="81"/>
            <rFont val="Tahoma"/>
            <family val="2"/>
          </rPr>
          <t xml:space="preserve">
Operating lease rental expense assumed to grow in line with revenue</t>
        </r>
      </text>
    </comment>
    <comment ref="J62" authorId="1" shapeId="0" xr:uid="{9175DFC0-EC0E-4E99-B09B-D7302B68FDBE}">
      <text>
        <r>
          <rPr>
            <b/>
            <sz val="9"/>
            <color indexed="81"/>
            <rFont val="Tahoma"/>
            <family val="2"/>
          </rPr>
          <t>Amgad:</t>
        </r>
        <r>
          <rPr>
            <sz val="9"/>
            <color indexed="81"/>
            <rFont val="Tahoma"/>
            <family val="2"/>
          </rPr>
          <t xml:space="preserve">
Operating lease rental expense assumed to grow in line with revenue</t>
        </r>
      </text>
    </comment>
    <comment ref="K62" authorId="1" shapeId="0" xr:uid="{C378959F-BDAE-453E-88CE-CD8B49BC4658}">
      <text>
        <r>
          <rPr>
            <b/>
            <sz val="9"/>
            <color indexed="81"/>
            <rFont val="Tahoma"/>
            <family val="2"/>
          </rPr>
          <t>Amgad:</t>
        </r>
        <r>
          <rPr>
            <sz val="9"/>
            <color indexed="81"/>
            <rFont val="Tahoma"/>
            <family val="2"/>
          </rPr>
          <t xml:space="preserve">
Operating lease rental expense assumed to grow in line with revenue</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Financial Edge</author>
  </authors>
  <commentList>
    <comment ref="M11" authorId="0" shapeId="0" xr:uid="{9308F3F2-19A4-4C49-8B8A-19CC68656921}">
      <text>
        <r>
          <rPr>
            <b/>
            <sz val="9"/>
            <color indexed="81"/>
            <rFont val="Tahoma"/>
            <family val="2"/>
          </rPr>
          <t>Amgad:</t>
        </r>
        <r>
          <rPr>
            <sz val="9"/>
            <color indexed="81"/>
            <rFont val="Tahoma"/>
            <family val="2"/>
          </rPr>
          <t xml:space="preserve">
Source: Financial Edge,  KDP 8K Press Release February 27 2020</t>
        </r>
      </text>
    </comment>
    <comment ref="N15" authorId="0" shapeId="0" xr:uid="{8854D686-5046-41A4-ACDC-9ECC20D41F65}">
      <text>
        <r>
          <rPr>
            <b/>
            <sz val="9"/>
            <color indexed="81"/>
            <rFont val="Tahoma"/>
            <family val="2"/>
          </rPr>
          <t>Amgad:</t>
        </r>
        <r>
          <rPr>
            <sz val="9"/>
            <color indexed="81"/>
            <rFont val="Tahoma"/>
            <family val="2"/>
          </rPr>
          <t xml:space="preserve">
Source: Financial Edge, Asahi Conference Call Feb 15 2021
Orbis.com Quarterly Commentary 30 June 2021, used Asahi announcement to calculate 6% of revenue</t>
        </r>
      </text>
    </comment>
    <comment ref="M16" authorId="0" shapeId="0" xr:uid="{1C4E3937-82B9-4244-867D-A160D8968955}">
      <text>
        <r>
          <rPr>
            <b/>
            <sz val="9"/>
            <color indexed="81"/>
            <rFont val="Tahoma"/>
            <family val="2"/>
          </rPr>
          <t>Amgad:</t>
        </r>
        <r>
          <rPr>
            <sz val="9"/>
            <color indexed="81"/>
            <rFont val="Tahoma"/>
            <family val="2"/>
          </rPr>
          <t xml:space="preserve">
Source: Financial Edge,  Cott 8K Press Release filed with SEC January 13 2020</t>
        </r>
      </text>
    </comment>
    <comment ref="H19" authorId="0" shapeId="0" xr:uid="{C8819C0D-004D-4E1C-922D-83583B7D0B5E}">
      <text>
        <r>
          <rPr>
            <b/>
            <sz val="9"/>
            <color indexed="81"/>
            <rFont val="Tahoma"/>
            <family val="2"/>
          </rPr>
          <t>Amgad:</t>
        </r>
        <r>
          <rPr>
            <sz val="9"/>
            <color indexed="81"/>
            <rFont val="Tahoma"/>
            <family val="2"/>
          </rPr>
          <t xml:space="preserve">
Source: Financial Edge,</t>
        </r>
        <r>
          <rPr>
            <b/>
            <sz val="9"/>
            <color indexed="81"/>
            <rFont val="Tahoma"/>
            <family val="2"/>
          </rPr>
          <t xml:space="preserve">
</t>
        </r>
        <r>
          <rPr>
            <sz val="9"/>
            <color indexed="81"/>
            <rFont val="Tahoma"/>
            <family val="2"/>
          </rPr>
          <t xml:space="preserve">Dun &amp; Bradstreet
</t>
        </r>
      </text>
    </comment>
    <comment ref="L19" authorId="0" shapeId="0" xr:uid="{CFBADDBD-1A52-462F-AB1F-E7BD4F43E01A}">
      <text>
        <r>
          <rPr>
            <b/>
            <sz val="9"/>
            <color indexed="81"/>
            <rFont val="Tahoma"/>
            <family val="2"/>
          </rPr>
          <t>Amgad:</t>
        </r>
        <r>
          <rPr>
            <sz val="9"/>
            <color indexed="81"/>
            <rFont val="Tahoma"/>
            <family val="2"/>
          </rPr>
          <t xml:space="preserve">
Implied EV/EBITDA multiple by taking EV/Revenue and dividing by Redbull's EBITDA margin</t>
        </r>
      </text>
    </comment>
    <comment ref="L20" authorId="0" shapeId="0" xr:uid="{2102386F-AECE-4535-B320-BEE4D2E386D4}">
      <text>
        <r>
          <rPr>
            <b/>
            <sz val="9"/>
            <color indexed="81"/>
            <rFont val="Tahoma"/>
            <family val="2"/>
          </rPr>
          <t>Amgad:</t>
        </r>
        <r>
          <rPr>
            <sz val="9"/>
            <color indexed="81"/>
            <rFont val="Tahoma"/>
            <family val="2"/>
          </rPr>
          <t xml:space="preserve">
Implied EV/EBITDA multiple by taking EV/Revenue and dividing by Redbull's EBITDA margin</t>
        </r>
      </text>
    </comment>
    <comment ref="L21" authorId="0" shapeId="0" xr:uid="{DC6CC9F8-FEC3-43B7-BDEC-51E44252BD7B}">
      <text>
        <r>
          <rPr>
            <b/>
            <sz val="9"/>
            <color indexed="81"/>
            <rFont val="Tahoma"/>
            <family val="2"/>
          </rPr>
          <t>Amgad:</t>
        </r>
        <r>
          <rPr>
            <sz val="9"/>
            <color indexed="81"/>
            <rFont val="Tahoma"/>
            <family val="2"/>
          </rPr>
          <t xml:space="preserve">
Implied EV/EBITDA multiple by taking EV/Revenue and dividing by Redbull's EBITDA margin</t>
        </r>
      </text>
    </comment>
    <comment ref="L22" authorId="0" shapeId="0" xr:uid="{B4B338D3-96B4-42D0-8AAE-02DF81DBDCC3}">
      <text>
        <r>
          <rPr>
            <b/>
            <sz val="9"/>
            <color indexed="81"/>
            <rFont val="Tahoma"/>
            <family val="2"/>
          </rPr>
          <t>Amgad:</t>
        </r>
        <r>
          <rPr>
            <sz val="9"/>
            <color indexed="81"/>
            <rFont val="Tahoma"/>
            <family val="2"/>
          </rPr>
          <t xml:space="preserve">
Implied EV/EBITDA multiple by taking EV/Revenue and dividing by Redbull's EBITDA margin</t>
        </r>
      </text>
    </comment>
    <comment ref="L24" authorId="0" shapeId="0" xr:uid="{74A870F8-0141-4B4E-9880-17C661E4D0D2}">
      <text>
        <r>
          <rPr>
            <b/>
            <sz val="9"/>
            <color indexed="81"/>
            <rFont val="Tahoma"/>
            <family val="2"/>
          </rPr>
          <t>Amgad:</t>
        </r>
        <r>
          <rPr>
            <sz val="9"/>
            <color indexed="81"/>
            <rFont val="Tahoma"/>
            <family val="2"/>
          </rPr>
          <t xml:space="preserve">
Implied EV/EBITDA multiple by taking EV/Revenue and dividing by Redbull's EBITDA margin</t>
        </r>
      </text>
    </comment>
    <comment ref="L26" authorId="0" shapeId="0" xr:uid="{515B3555-CA80-424F-B427-92088EB7F072}">
      <text>
        <r>
          <rPr>
            <b/>
            <sz val="9"/>
            <color indexed="81"/>
            <rFont val="Tahoma"/>
            <family val="2"/>
          </rPr>
          <t>Amgad:</t>
        </r>
        <r>
          <rPr>
            <sz val="9"/>
            <color indexed="81"/>
            <rFont val="Tahoma"/>
            <family val="2"/>
          </rPr>
          <t xml:space="preserve">
Implied EV/EBITDA multiple by taking EV/Revenue and dividing by Redbull's EBITDA margin</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Financial Edge</author>
  </authors>
  <commentList>
    <comment ref="B37" authorId="0" shapeId="0" xr:uid="{F62AD5A1-834C-41C3-A935-4BD0FFB8FD25}">
      <text>
        <r>
          <rPr>
            <b/>
            <sz val="9"/>
            <color indexed="81"/>
            <rFont val="Tahoma"/>
            <family val="2"/>
          </rPr>
          <t xml:space="preserve">Amgad:
</t>
        </r>
        <r>
          <rPr>
            <sz val="9"/>
            <color indexed="81"/>
            <rFont val="Tahoma"/>
            <family val="2"/>
          </rPr>
          <t>If debt is to be repaid.</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Financial Edge</author>
  </authors>
  <commentList>
    <comment ref="G12" authorId="0" shapeId="0" xr:uid="{71F8BD54-FF42-44EA-B98B-EA02BBC03D1A}">
      <text>
        <r>
          <rPr>
            <b/>
            <sz val="9"/>
            <color indexed="81"/>
            <rFont val="Tahoma"/>
            <family val="2"/>
          </rPr>
          <t>Amgad:</t>
        </r>
        <r>
          <rPr>
            <sz val="9"/>
            <color indexed="81"/>
            <rFont val="Tahoma"/>
            <family val="2"/>
          </rPr>
          <t xml:space="preserve">
4x senior faciilty tend to demand a 2.5 to 3.5% spread over the risk free rate</t>
        </r>
      </text>
    </comment>
    <comment ref="B68" authorId="0" shapeId="0" xr:uid="{A780AD76-FE38-4FF1-8EE6-35706BE5C058}">
      <text>
        <r>
          <rPr>
            <b/>
            <sz val="9"/>
            <color indexed="81"/>
            <rFont val="Tahoma"/>
            <family val="2"/>
          </rPr>
          <t>Amgad:</t>
        </r>
        <r>
          <rPr>
            <sz val="9"/>
            <color indexed="81"/>
            <rFont val="Tahoma"/>
            <family val="2"/>
          </rPr>
          <t xml:space="preserve">
50% paydown minimum required within 7 years for credit committee to approve</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<sst xmlns="http://schemas.openxmlformats.org/spreadsheetml/2006/main" count="1356" uniqueCount="712">
  <si>
    <t>Model Details</t>
  </si>
  <si>
    <t>Company name</t>
  </si>
  <si>
    <t>Red Bull</t>
  </si>
  <si>
    <t>Date</t>
  </si>
  <si>
    <t>Valuation</t>
  </si>
  <si>
    <t>Currency</t>
  </si>
  <si>
    <t>M&amp;A</t>
  </si>
  <si>
    <t>Units</t>
  </si>
  <si>
    <t>Millions</t>
  </si>
  <si>
    <t>LBO</t>
  </si>
  <si>
    <t>Circular Switch</t>
  </si>
  <si>
    <t>Coca-Cola Company</t>
  </si>
  <si>
    <t>Keurig Dr Pepper</t>
  </si>
  <si>
    <t>PepsiCo</t>
  </si>
  <si>
    <t>Danone</t>
  </si>
  <si>
    <t>Adjusted operating profit</t>
  </si>
  <si>
    <t>Further adjustments</t>
  </si>
  <si>
    <t>EBIT</t>
  </si>
  <si>
    <t>EBITDA</t>
  </si>
  <si>
    <t>NA</t>
  </si>
  <si>
    <t>Accounts receivable</t>
  </si>
  <si>
    <t>Inventories</t>
  </si>
  <si>
    <t>Other current assets</t>
  </si>
  <si>
    <t>Accounts payable</t>
  </si>
  <si>
    <t>Net PP&amp;E</t>
  </si>
  <si>
    <t>Long term debt</t>
  </si>
  <si>
    <t>Structured payables</t>
  </si>
  <si>
    <t>Other</t>
  </si>
  <si>
    <t>Total debt</t>
  </si>
  <si>
    <t>Total cash and financial assets</t>
  </si>
  <si>
    <t>Net debt</t>
  </si>
  <si>
    <t>Revenue growth</t>
  </si>
  <si>
    <t>EBIT margin</t>
  </si>
  <si>
    <t>EBITDA margin</t>
  </si>
  <si>
    <t>Invested capital</t>
  </si>
  <si>
    <t>Return on invested capital</t>
  </si>
  <si>
    <t>Inventory days</t>
  </si>
  <si>
    <t>EBITDAR</t>
  </si>
  <si>
    <t>End</t>
  </si>
  <si>
    <t>Actual</t>
  </si>
  <si>
    <t>Projected</t>
  </si>
  <si>
    <t>All numbers in EURm unless otherwise stated</t>
  </si>
  <si>
    <t>Assumptions</t>
  </si>
  <si>
    <t>Revenue growth - Europe</t>
  </si>
  <si>
    <t>Revenue growth - USA</t>
  </si>
  <si>
    <t>Revenue growth - Americas excluding USA</t>
  </si>
  <si>
    <t>Revenue growth - Rest of world</t>
  </si>
  <si>
    <t>Total revenue growth</t>
  </si>
  <si>
    <t>Total revenue check, CAGR 2024-2029</t>
  </si>
  <si>
    <t>COGS as % of total revenue</t>
  </si>
  <si>
    <t>SG&amp;A as % of total revenue</t>
  </si>
  <si>
    <t>Marketing expense as % of total revenue</t>
  </si>
  <si>
    <t>Depreciation % beginning net PP&amp;E</t>
  </si>
  <si>
    <t>Other financial income / expense amount</t>
  </si>
  <si>
    <t>Effective tax rate</t>
  </si>
  <si>
    <t>Marginal tax rate</t>
  </si>
  <si>
    <t>Dividend payout ratio % net income</t>
  </si>
  <si>
    <t>Accounts receivable days</t>
  </si>
  <si>
    <t>Other current assets as % of total revenue</t>
  </si>
  <si>
    <t>Capital expenditure % of total revenue</t>
  </si>
  <si>
    <t>Financial assets amount</t>
  </si>
  <si>
    <t>Accounts payable days</t>
  </si>
  <si>
    <t>Long term debt issuance (repayment)</t>
  </si>
  <si>
    <t>Interest rate on revolver</t>
  </si>
  <si>
    <t>Interest rate on long term debt</t>
  </si>
  <si>
    <t>Interest rate on cash</t>
  </si>
  <si>
    <t>Calculations</t>
  </si>
  <si>
    <t>Beginning</t>
  </si>
  <si>
    <t>Capital expenditure</t>
  </si>
  <si>
    <t>Depreciation</t>
  </si>
  <si>
    <t>Ending</t>
  </si>
  <si>
    <t>Equity</t>
  </si>
  <si>
    <t>Net income</t>
  </si>
  <si>
    <t>Dividends</t>
  </si>
  <si>
    <t>Income statement</t>
  </si>
  <si>
    <t>Revenue</t>
  </si>
  <si>
    <t>Europe</t>
  </si>
  <si>
    <t>USA</t>
  </si>
  <si>
    <t>Americas excluding USA</t>
  </si>
  <si>
    <t>Rest of world</t>
  </si>
  <si>
    <t>Total revenue</t>
  </si>
  <si>
    <t>Cost of goods sold</t>
  </si>
  <si>
    <t>Gross profit</t>
  </si>
  <si>
    <t>Selling, general &amp; admin expenses</t>
  </si>
  <si>
    <t>Marketing expenses</t>
  </si>
  <si>
    <t>Interest income</t>
  </si>
  <si>
    <t>Interest expense</t>
  </si>
  <si>
    <t>Other financial income / (expense)</t>
  </si>
  <si>
    <t>Profit before tax</t>
  </si>
  <si>
    <t>Tax expense</t>
  </si>
  <si>
    <t>Balance sheet</t>
  </si>
  <si>
    <t>Cash</t>
  </si>
  <si>
    <t>Total current assets</t>
  </si>
  <si>
    <t>Financial assets</t>
  </si>
  <si>
    <t>Total assets</t>
  </si>
  <si>
    <t>Revolver</t>
  </si>
  <si>
    <t>Total current liabilities</t>
  </si>
  <si>
    <t>Total liabilities</t>
  </si>
  <si>
    <t>Total liabilities and equity</t>
  </si>
  <si>
    <t>Check</t>
  </si>
  <si>
    <t>Cash flow statement</t>
  </si>
  <si>
    <t>Change in accounts receivable</t>
  </si>
  <si>
    <t>Change in inventories</t>
  </si>
  <si>
    <t>Change in other current assets</t>
  </si>
  <si>
    <t>Change in accounts payable</t>
  </si>
  <si>
    <t>Cash flow from operations</t>
  </si>
  <si>
    <t>(Capital expenditure)</t>
  </si>
  <si>
    <t>Change in financial assets</t>
  </si>
  <si>
    <t>Cash flow from investing activities</t>
  </si>
  <si>
    <t>Change in long term debt</t>
  </si>
  <si>
    <t>Cash flow from financing activities</t>
  </si>
  <si>
    <t>Beginning cash, net of revolver</t>
  </si>
  <si>
    <t>Net cash flow</t>
  </si>
  <si>
    <t>Ending cash, net of revolver</t>
  </si>
  <si>
    <t>Interest calculation</t>
  </si>
  <si>
    <t>Interest on revolver</t>
  </si>
  <si>
    <t>Interest on long term debt</t>
  </si>
  <si>
    <t>Interest on cash</t>
  </si>
  <si>
    <t>Income statement operating statistics</t>
  </si>
  <si>
    <t>Net income margin</t>
  </si>
  <si>
    <t>Number of cans sold</t>
  </si>
  <si>
    <t>Revenue per can (€)</t>
  </si>
  <si>
    <t>Balance sheet operating statistics</t>
  </si>
  <si>
    <t>OWC % revenue</t>
  </si>
  <si>
    <t>Net PP&amp;E % revenue</t>
  </si>
  <si>
    <t>Return on opening invested capital</t>
  </si>
  <si>
    <t>Growth in invested capital</t>
  </si>
  <si>
    <t>Debt and interest statistics</t>
  </si>
  <si>
    <t>Net debt / EBITDA</t>
  </si>
  <si>
    <t>EBITDA / interest expense</t>
  </si>
  <si>
    <t>Net debt / net debt + equity</t>
  </si>
  <si>
    <t>Trading comparables</t>
  </si>
  <si>
    <t>LTM</t>
  </si>
  <si>
    <t>2026e</t>
  </si>
  <si>
    <t>EV / EBITDA</t>
  </si>
  <si>
    <t>Analyst name</t>
  </si>
  <si>
    <t>Key data</t>
  </si>
  <si>
    <t>Enterprise value summary</t>
  </si>
  <si>
    <t>Ticker</t>
  </si>
  <si>
    <t>KO-US</t>
  </si>
  <si>
    <t>Country</t>
  </si>
  <si>
    <t>United States</t>
  </si>
  <si>
    <t>+ Diluted equity value</t>
  </si>
  <si>
    <t>Analysis date</t>
  </si>
  <si>
    <t>+ Debt</t>
  </si>
  <si>
    <t>Calendarize to</t>
  </si>
  <si>
    <t>- Cash and ST investments</t>
  </si>
  <si>
    <t>Currency / FX</t>
  </si>
  <si>
    <t>- Other adjustments</t>
  </si>
  <si>
    <t>= Enterprise value</t>
  </si>
  <si>
    <t>Historical year end</t>
  </si>
  <si>
    <t>Last filing date US format</t>
  </si>
  <si>
    <t>Calendarized key numbers</t>
  </si>
  <si>
    <t>Last filing date Intl format</t>
  </si>
  <si>
    <t>Home currency</t>
  </si>
  <si>
    <t>USD</t>
  </si>
  <si>
    <t>FX rate</t>
  </si>
  <si>
    <t>Last closing price</t>
  </si>
  <si>
    <t>52 week low</t>
  </si>
  <si>
    <t>EPS</t>
  </si>
  <si>
    <t>52 week high</t>
  </si>
  <si>
    <t>Credit rating</t>
  </si>
  <si>
    <t>A+</t>
  </si>
  <si>
    <t>Calendarized multiples to December 31</t>
  </si>
  <si>
    <t>Beta</t>
  </si>
  <si>
    <t xml:space="preserve"> </t>
  </si>
  <si>
    <t>5 year EPS forward growth</t>
  </si>
  <si>
    <t>EV / Revenue</t>
  </si>
  <si>
    <t>LTM EBIT margin</t>
  </si>
  <si>
    <t>EV / EBIT</t>
  </si>
  <si>
    <t>PE</t>
  </si>
  <si>
    <t>P / BV</t>
  </si>
  <si>
    <t>Total debt / LTM EBITDA</t>
  </si>
  <si>
    <t>Enterprise value calculation (home currency)</t>
  </si>
  <si>
    <t>Share options and RSUs</t>
  </si>
  <si>
    <t>Tranche</t>
  </si>
  <si>
    <t>Number</t>
  </si>
  <si>
    <t>Strike</t>
  </si>
  <si>
    <t>New shares</t>
  </si>
  <si>
    <t>Equity valuation</t>
  </si>
  <si>
    <t>Financial liabilities calculation</t>
  </si>
  <si>
    <t>Financial assets calculation</t>
  </si>
  <si>
    <t>Options</t>
  </si>
  <si>
    <t>Shares outstanding as of</t>
  </si>
  <si>
    <t>Debt - short term</t>
  </si>
  <si>
    <t>Cash and ST investments</t>
  </si>
  <si>
    <t>Performance share units</t>
  </si>
  <si>
    <t>Basic shares outstanding</t>
  </si>
  <si>
    <t>Debt - current maturities</t>
  </si>
  <si>
    <t>Marketable securities</t>
  </si>
  <si>
    <t>Time based RSUs</t>
  </si>
  <si>
    <t>Other adjustments</t>
  </si>
  <si>
    <t>Debt - long term</t>
  </si>
  <si>
    <t>Equity method investments</t>
  </si>
  <si>
    <t>Tranche 4</t>
  </si>
  <si>
    <t>Dilution from share options</t>
  </si>
  <si>
    <t>Preferred equity</t>
  </si>
  <si>
    <t>Other investments</t>
  </si>
  <si>
    <t>Tranche 5</t>
  </si>
  <si>
    <t>Diluted shares outstanding</t>
  </si>
  <si>
    <t>NCI</t>
  </si>
  <si>
    <t>Tranche 6</t>
  </si>
  <si>
    <t>Diluted equity value</t>
  </si>
  <si>
    <t>Tranche 7</t>
  </si>
  <si>
    <t>Shareholders' equity</t>
  </si>
  <si>
    <t>Tranche 8</t>
  </si>
  <si>
    <t>Net debt and other adjustments</t>
  </si>
  <si>
    <t>Total</t>
  </si>
  <si>
    <t>Total financial liabilities</t>
  </si>
  <si>
    <t>Total financial assets</t>
  </si>
  <si>
    <t>Earnings (home currency)</t>
  </si>
  <si>
    <t>Consensus estimates</t>
  </si>
  <si>
    <t>Annual</t>
  </si>
  <si>
    <t>Old 10-Q/Interim</t>
  </si>
  <si>
    <t>New 10-Q/interim</t>
  </si>
  <si>
    <t>Adj. LTM</t>
  </si>
  <si>
    <t>Fiscal Year</t>
  </si>
  <si>
    <t>FY +1</t>
  </si>
  <si>
    <t>FY +2</t>
  </si>
  <si>
    <t>FY +3</t>
  </si>
  <si>
    <t>FY +4</t>
  </si>
  <si>
    <t>N/A</t>
  </si>
  <si>
    <t>Depreciation and amortization</t>
  </si>
  <si>
    <t>EBITDA (consolidated)</t>
  </si>
  <si>
    <t>Lease adjustments for US and IFRS comparability</t>
  </si>
  <si>
    <t>Lease interest % lease rental expense (from S&amp;P)</t>
  </si>
  <si>
    <t>Operating lease rental expense in home currency</t>
  </si>
  <si>
    <t>EBITDAR (adj for op lease rental expense) in home currency</t>
  </si>
  <si>
    <t>EBITR (adj for op lease interest) in home currency</t>
  </si>
  <si>
    <t>Operating lease liabilities in home currency</t>
  </si>
  <si>
    <t>EVR / EBITDAR</t>
  </si>
  <si>
    <t>EVR / EBITR</t>
  </si>
  <si>
    <t>Calendarization workings</t>
  </si>
  <si>
    <t xml:space="preserve">Fiscal year </t>
  </si>
  <si>
    <t>% last year</t>
  </si>
  <si>
    <t>% curr. year</t>
  </si>
  <si>
    <t>% next year</t>
  </si>
  <si>
    <t>Calendarize?</t>
  </si>
  <si>
    <t>Data?</t>
  </si>
  <si>
    <t>KDP-US</t>
  </si>
  <si>
    <t>BBB+</t>
  </si>
  <si>
    <t>Finance lease liabilities</t>
  </si>
  <si>
    <t>Unamortized debt discount / original issue discount</t>
  </si>
  <si>
    <t>Amortization of intangibles added back by management</t>
  </si>
  <si>
    <t>Stock compensation expense added back by management</t>
  </si>
  <si>
    <t>Main currency</t>
  </si>
  <si>
    <t>Calendarization date</t>
  </si>
  <si>
    <t>Share price</t>
  </si>
  <si>
    <t>P/E</t>
  </si>
  <si>
    <t>EBITR</t>
  </si>
  <si>
    <t>LTM EBITDA</t>
  </si>
  <si>
    <t>LT EPS</t>
  </si>
  <si>
    <t>Post tax</t>
  </si>
  <si>
    <t>CY1 Revenue</t>
  </si>
  <si>
    <t>CY2 Revenue</t>
  </si>
  <si>
    <t xml:space="preserve">Debt / </t>
  </si>
  <si>
    <t>Historical</t>
  </si>
  <si>
    <t xml:space="preserve">Credit </t>
  </si>
  <si>
    <t>Company</t>
  </si>
  <si>
    <t>Share price $</t>
  </si>
  <si>
    <t>52 week high $</t>
  </si>
  <si>
    <t xml:space="preserve">% of high </t>
  </si>
  <si>
    <t>Market Cap</t>
  </si>
  <si>
    <t>EV</t>
  </si>
  <si>
    <t>margin</t>
  </si>
  <si>
    <t>growth (%)</t>
  </si>
  <si>
    <t>ROIC</t>
  </si>
  <si>
    <t>growth</t>
  </si>
  <si>
    <t>Rating</t>
  </si>
  <si>
    <t>Debt</t>
  </si>
  <si>
    <t>Trading comparables longlist</t>
  </si>
  <si>
    <t>Monster Beverage</t>
  </si>
  <si>
    <t>MNST-US</t>
  </si>
  <si>
    <t>PEP-US</t>
  </si>
  <si>
    <t>National Beverage</t>
  </si>
  <si>
    <t>FIZZ-US</t>
  </si>
  <si>
    <t>Fevertree Drinks</t>
  </si>
  <si>
    <t>FEVR-GB</t>
  </si>
  <si>
    <t>Celsius</t>
  </si>
  <si>
    <t>CELH-US</t>
  </si>
  <si>
    <t>LTM EBITDA /</t>
  </si>
  <si>
    <t>Trading comparables shortlist</t>
  </si>
  <si>
    <t>Median</t>
  </si>
  <si>
    <t>Implied equity value</t>
  </si>
  <si>
    <t>Implied enterprise value</t>
  </si>
  <si>
    <t>Net debt/(cash)</t>
  </si>
  <si>
    <t>DO NOT DELETE</t>
  </si>
  <si>
    <t>COMPANY_NAME</t>
  </si>
  <si>
    <t>COMP_SHAREPRICE</t>
  </si>
  <si>
    <t>SHAREPRICE_HIGH</t>
  </si>
  <si>
    <t>COMP_EQ_VALUE</t>
  </si>
  <si>
    <t>COMP_EV</t>
  </si>
  <si>
    <t>PE_CY1</t>
  </si>
  <si>
    <t>PE_CY2</t>
  </si>
  <si>
    <t>SALES_LTM</t>
  </si>
  <si>
    <t>SALES_CY1</t>
  </si>
  <si>
    <t>SALES_CY2</t>
  </si>
  <si>
    <t>EBITDA_LTM</t>
  </si>
  <si>
    <t>EBITDA_CY1</t>
  </si>
  <si>
    <t>EBITDA_CY2</t>
  </si>
  <si>
    <t>EBIT_LTM</t>
  </si>
  <si>
    <t>EBIT_CY1</t>
  </si>
  <si>
    <t>EBIT_CY2</t>
  </si>
  <si>
    <t>EBITDAR_LTM</t>
  </si>
  <si>
    <t>EBITDAR_CY1</t>
  </si>
  <si>
    <t>EBITDAR_CY2</t>
  </si>
  <si>
    <t>EBITR_LTM</t>
  </si>
  <si>
    <t>EBITR_CY1</t>
  </si>
  <si>
    <t>EBITR_CY2</t>
  </si>
  <si>
    <t>EVR</t>
  </si>
  <si>
    <t>EPS_5YR_GROWTH</t>
  </si>
  <si>
    <t>TOTAL_DEBT</t>
  </si>
  <si>
    <t>BETA</t>
  </si>
  <si>
    <t>CREDIT_RATING</t>
  </si>
  <si>
    <t>COMP_FX</t>
  </si>
  <si>
    <t>Free cash flows</t>
  </si>
  <si>
    <t>Long-term effective tax rate</t>
  </si>
  <si>
    <t>Net operating profit after tax (NOPAT)</t>
  </si>
  <si>
    <t>Depreciation &amp; amortization</t>
  </si>
  <si>
    <t>(Increase) decrease in operating working capital</t>
  </si>
  <si>
    <t>Unlevered free cash flow</t>
  </si>
  <si>
    <t>Key ratios</t>
  </si>
  <si>
    <t>Cash conversion ratio</t>
  </si>
  <si>
    <t>Invested capital growth rate</t>
  </si>
  <si>
    <t>Return on average invested capital</t>
  </si>
  <si>
    <t>Return on new capital invested</t>
  </si>
  <si>
    <t>Terminal value</t>
  </si>
  <si>
    <t>Long term growth rate</t>
  </si>
  <si>
    <t>WACC</t>
  </si>
  <si>
    <t>Terminal value using long term growth rate</t>
  </si>
  <si>
    <t>Implied terminal EBITDA multiple</t>
  </si>
  <si>
    <t>Discounting</t>
  </si>
  <si>
    <t>Year</t>
  </si>
  <si>
    <t>Discount factor</t>
  </si>
  <si>
    <t>Present value of free cash flows</t>
  </si>
  <si>
    <t>Sum of present value of free cash flows</t>
  </si>
  <si>
    <t>Present value of terminal value</t>
  </si>
  <si>
    <t>Enterprise value</t>
  </si>
  <si>
    <t>Cash and other financial assets</t>
  </si>
  <si>
    <t>Debt and revolver</t>
  </si>
  <si>
    <t>Sensitivity</t>
  </si>
  <si>
    <t>WACC increment</t>
  </si>
  <si>
    <t>Long term growth rate increment</t>
  </si>
  <si>
    <t>WACC (for sensitivity data tables only, not connected to DCF model)</t>
  </si>
  <si>
    <t>Long-term growth rate</t>
  </si>
  <si>
    <t>All figures in USDm unless otherwise stated</t>
  </si>
  <si>
    <t>Debt %</t>
  </si>
  <si>
    <t>Unlevered</t>
  </si>
  <si>
    <t>MTR</t>
  </si>
  <si>
    <t>Capital</t>
  </si>
  <si>
    <t>Industry average</t>
  </si>
  <si>
    <t>Risk free rate</t>
  </si>
  <si>
    <t>Industry average unlevered beta</t>
  </si>
  <si>
    <t>Red Bull MTR</t>
  </si>
  <si>
    <t>Industry average implied debt % of equity</t>
  </si>
  <si>
    <t>Relevered beta</t>
  </si>
  <si>
    <t>Cost of equity</t>
  </si>
  <si>
    <t>Equity % of capital</t>
  </si>
  <si>
    <t>Corporate spread</t>
  </si>
  <si>
    <t>Cost of debt</t>
  </si>
  <si>
    <t>After tax cost of debt</t>
  </si>
  <si>
    <t>Debt % of capital</t>
  </si>
  <si>
    <t>Transaction comparables</t>
  </si>
  <si>
    <t>All figures in USDm unless stated</t>
  </si>
  <si>
    <t>Acquirer</t>
  </si>
  <si>
    <t>Announcement</t>
  </si>
  <si>
    <t>Transaction</t>
  </si>
  <si>
    <t>Enterprise</t>
  </si>
  <si>
    <t>Synergies %</t>
  </si>
  <si>
    <t>Target</t>
  </si>
  <si>
    <t>Reason for</t>
  </si>
  <si>
    <t>Status</t>
  </si>
  <si>
    <t>Value (MM)</t>
  </si>
  <si>
    <t>Value</t>
  </si>
  <si>
    <t>EV/Revenue</t>
  </si>
  <si>
    <t>EV/EBITDA</t>
  </si>
  <si>
    <t>Synergies</t>
  </si>
  <si>
    <t>LTM revenues</t>
  </si>
  <si>
    <t>excluding</t>
  </si>
  <si>
    <t>Synopsis</t>
  </si>
  <si>
    <t>Transactions longlist</t>
  </si>
  <si>
    <t>SABMiller Plc</t>
  </si>
  <si>
    <t>Anheuser-Busch InBev SA /Old/</t>
  </si>
  <si>
    <t>Complete</t>
  </si>
  <si>
    <t>UK</t>
  </si>
  <si>
    <t xml:space="preserve">Anheuser-Busch InBev SA acquired SABMiller Plc for GBP73.1 billion (US$112.2 billion) in cash, via a pre-conditional scheme of arrangement. Under the terms of the transaction, the bidder paid a revised price of GBP45 (US$69.1155) in cash per target share, with a partial share alternative which comprises up to 326 million shares for approximately 41.6% of SABMiller's share capital, was subject to pre-conditions. The offer represents a 53% premium to SABMiller's closing share price of GBP29.34 (US$45.1) on September 14, 2015. SABMiller shareholders who will elect for the partial share alternative will receive 0.483969 AB InBev restricted shares for every 1 SABmiller share, plus GBP4.6588 (US$7.1555) in cash per target share. The cash offer was financed through existing cash resources and new third party debt. The acquisition would enhance AB InBev's market presence in Colombia, Peru and Africa. Moreover, both parties announced the sale of SABmiller's 58% majority stake in MillerCoors LLC to Molson Coors Brewing Co. </t>
  </si>
  <si>
    <t>SABMiller Ltd</t>
  </si>
  <si>
    <t>Asahi Group Holdings Ltd.</t>
  </si>
  <si>
    <t>-</t>
  </si>
  <si>
    <t>Germany</t>
  </si>
  <si>
    <t>Asahi Group Holdings Ltd acquired 8 Central &amp; Eastern European subsidiaries of SABMiller Ltd, a subsidiary of Anheuser-Busch InBev SA/NV for approximately EUR7.3 billion (US$7.7 billion) in cash, funded by bank loans. Approximately EUR23.7 million (US$25.1 million) was also be paid for advisory and related fees. The 8 subsidiaries were mainly located in Czech Republic, Slovakia, Poland, Hungary, and Romania and engages in manufacturing and distributing beers and beverages. Earlier in June 2016, several companies were rumored to be interested to acquire the Central and Eastern European Business.</t>
  </si>
  <si>
    <t>Refresco Group BV (Old)</t>
  </si>
  <si>
    <t>BC Investment Management Corp.; PAI Partners SAS; Refresco Group NV /Private Group/</t>
  </si>
  <si>
    <t>Netherlands</t>
  </si>
  <si>
    <t xml:space="preserve">A private group led by the private equity arm of PAI Partners SAS and BC Investment Management Corp acquired Refresco Group NV for a revised offer of EUR1.6 billion (US$1.7 billion) in cash. The acquisition was funded via debt and equity financing. PAI Partners SAS paid EUR20 (US$21.3) cash for every target share sought, representing a premium of 22% over Refresco Group NV's closing price on July 25, 2017. Refresco Group NV is located in Rotterdam, Zuid-Holland, the Netherlands and engages in the bottling of beverages for retailers and brands. The company has approximately 5,500 employees. On April 3, 2018 the offer closed with 80,655,933 shares, representing 99.4% of Refresco Group NV, tendered. PAI Partners SAS intends to launch a compulsory acquisition procedure to acquire the remaining shares not tendered in the offer. </t>
  </si>
  <si>
    <t>Saigon Beer Alcohol Beverage Corp</t>
  </si>
  <si>
    <t>Thai Beverage Public Co., Ltd.; Vietnam Beverage Co. Ltd.</t>
  </si>
  <si>
    <t>Vietnam</t>
  </si>
  <si>
    <t>Vietnam Beverage Co Ltd, indirectly owned by Thai Beverage Public Co Ltd, acquired a 53.6% majority stake in Saigon Beer Alcohol Beverage Corp from the Government of Vietnam for VND110 trillion (US$4.8 billion) in cash. Under the terms, Vietnam Beverage Co Ltd paid VND0.32 million (US$14.09) cash per share. The offer price was funded through a mix of its existing equity capital and loans. The transaction will enhance the business portfolio of both companies. Based in Ho Chi Minh City, Vietnam, Saigon Beer Alcohol Beverage Corp engages in the manufacture and trading of beer, alcohol and beverages.</t>
  </si>
  <si>
    <t>Dr Pepper Snapple Group, Inc</t>
  </si>
  <si>
    <t>Keurig Green Mountain, Inc.</t>
  </si>
  <si>
    <t>Keurig Green Mountain Inc, acquired Dr Pepper Snapple Group Inc for US$22.7 billion in special cash dividend and stock. Under the terms of the transaction, shareholders of Dr. Pepper Snapple Group Inc received US$103.75 special cash dividend for every share owned. The transaction will be funded through senior notes and borrowings under new credit facilities. The acquisition creates a new beverage company to be called Keurig Dr. Pepper and begins trading on the New York Stock Exchange on July 10 under the symbol "KDP". Located in Plano, Texas, United States, Dr. Pepper Snapple Group Inc manufactures and markets non-alcoholic beverages. Following completion of the deal, Keurig Green Mountain Inc and its investors will hold 87% in the new company and Dr. Pepper Snapple Group Inc will hold the remaining 13%.</t>
  </si>
  <si>
    <t>Sichuan Swellfun Co Ltd</t>
  </si>
  <si>
    <t>Grand Metropolitan International Holdings Ltd.; Grand Metropolitan Ltd.</t>
  </si>
  <si>
    <t>China</t>
  </si>
  <si>
    <t>Grand Metropolitan International Holdings Ltd, owned by Diageo Plc, acquired an additional 20.3% minority stake in Sichuan Swellfun Co Ltd for RMB6.1 billion (US$936.8 million) in cash, via a partial tender offer. Under the terms of the transaction, the bidder paid RMB61.38 (US$9.5) cash for the shares of the target. The offer price represents a 22.6% premium over the closing price of Sichuan Swellfun Co Ltd on June 25, 2018. Upon completion of the offer, Diageo Plc will have a 60% majority stake ownership in the target. Sichuan Swellfun Co Ltd is located in Chengdu, Sichuan, China and manufactures and distributes antibiotics. The company is also engaged in liquor production and distribution.</t>
  </si>
  <si>
    <t>Sodastream International</t>
  </si>
  <si>
    <t>Israel</t>
  </si>
  <si>
    <t>PepsiCo announces plans to acquire at-home carbonated drink maker SodaStream for $3.2 billion. PepsiCo will pay $144.00 per share in cash for SodaStream’s outstanding stock, which is a 32 percent premium to its 30-day volume weighted average price. The deal gives Pepsi a new line through which it can reach customers in their homes, rather than through stores. Sodastream helped create the market for in-home soda making, but in recent years it has promoted the product as a tool to make carbonated water, accommodating for changing tastes.</t>
  </si>
  <si>
    <t>The Fuller's Beer Co Ltd</t>
  </si>
  <si>
    <t>Asahi Europe Ltd.</t>
  </si>
  <si>
    <t>Asahi Europe, a subsidiary of Asahi Group Holdings, acquired the business related to beer production and manufacturing from Fuller Smith &amp; Turner Plc for GBP250 million (US$326.1 million)in cash. In addition, GBP4.2 million (US$5.5 million) will be paid for advisory related fees. The assets to be acquired are located in United Kingdom and produce and brew beer, cider and soft drinks and which collectively had an EBITDA of GBP10.6 million (US$13.8 million) in the period ending in March 2018.</t>
  </si>
  <si>
    <t>CUB Pty Ltd.</t>
  </si>
  <si>
    <t>Australia</t>
  </si>
  <si>
    <t>Asahi Group Holdings agreed to acquire CUB Pty Ltd, a subsidiary of Fosters Group Pty Ltd and ultimately owned by Anheuser-Busch InBev SA/NV, for an enterprise value of AUD16 billion (US$11.3 billion). CUB Pty Ltd is located in Victoria, Australia and operates breweries. The company has around 1,310 employees and has an EBITDA of AUD1.1 billion (US$774.5 million) for the fiscal year ended December 2018.</t>
  </si>
  <si>
    <t>Primo Water Corp.</t>
  </si>
  <si>
    <t>Cott Corp. (Canada)</t>
  </si>
  <si>
    <t>Cott Corp entered into a definitive agreement to acquire Primo Water Corp for US$564.3 million in cash and stock. The acquisition will be funded through Cott Corp's sales and revenues, debt financing and by issuing new shares. The acquisition will expand Cott Corp's channel diversification and consumer reach. Primo Water Corp is located in Winston-Salem, North Carolina, United States and manufactures and markets purified bottled water.</t>
  </si>
  <si>
    <t>Rockstar, Inc.</t>
  </si>
  <si>
    <t>PepsiCo, Inc.</t>
  </si>
  <si>
    <t>PepsiCo Inc acquired Rockstar Inc, doing business as Rockstar Energy Drink, for US$3.85 billion. The transaction accelerates PepsiCo Inc's capabilities to expand its presence in existing brands such as Mountain Dew. Founded in 2001, Rockstar Inc is located in Las Vegas, Nevada, United States and provides energy drinks to athletes and rock stars.</t>
  </si>
  <si>
    <t>Coca-Cola Amatil Ltd.</t>
  </si>
  <si>
    <t>Coca-Cola European Partners Plc</t>
  </si>
  <si>
    <t>Coca-Cola European Partners Plc acquired the remaining 69.2% stake not yet owned in Coca-Cola Amatil Ltd for a revised amount of AUD6.7 billion (US$4.7 billion), representing a 23% premium to the 1-week volume weighted average price. Both companies are bottlers of Coca-Cola products. Coca-Cola Amatil Ltd is located in North Sydney, New South Wales (NSW), Australia.</t>
  </si>
  <si>
    <t>CANarchy Craft Brewery Collective LLC</t>
  </si>
  <si>
    <t>Monster Beverage Corporation</t>
  </si>
  <si>
    <t>Monster Beverage Corporation announced today that it has entered into a definitive agreement to acquire CANarchy Craft Brewery Collective LLC, a craft beer and hard seltzer company for $330 million in cash. CANarchy will function independently, retaining its own organizational structure and team. Evercore served as financial advisor to Monster.</t>
  </si>
  <si>
    <t>Nestle Waters North America, Inc.</t>
  </si>
  <si>
    <t>Round Hill Investments LLC; One Rock Capital Partners LLC; Nestle SA /North American Water Brands/ /Private Group/</t>
  </si>
  <si>
    <t xml:space="preserve">A private group led by One Rock Capital Partners LLC and Round Hill Investments LLC acquired Nestle Waters North America Inc from Nestlé SA for US$4.3 billion in cash. The transaction was funded through secured and unsecured debt. The transaction also includes Poland Spring, Pure Life, Deer Park, Poland Spring, Ozarka, Ice Mountain, Zephyrhills and Arrowhead brands to be sold. Nestlé SA's international premium brands including Perrier, S.Pellegrino and Acqua Panna are not part of the deal. Nestle Waters North America, Inc is located in Stamford, Connecticut and produces, markets, and distributes bottled water. It has around 7,000 employees in United States and more than 230 in Canada. </t>
  </si>
  <si>
    <t>HyEdge, Inc.</t>
  </si>
  <si>
    <t>Ficaar, Inc.</t>
  </si>
  <si>
    <t>Ficaar Inc acquired HyEdge Inc for US$772.4 million in stock. Incorporated in 2014, HyEdge Inc is located in Pennsylvania, United States and manufactures and supplies hydrogen infused water products and other consumer goods. For the year ended December 31, 2021, Hydge Inc generated a net revenue of US$2.3 million.</t>
  </si>
  <si>
    <t>BodyArmor</t>
  </si>
  <si>
    <t>The Coca-Cola Company confirms acquisition of remaining 85% stake in BODYARMOR for $5.6B in cash, valuing BodyArmor at $6.6B. The Company acquired the remaining ownership interest in BA Sports Nutrition, LLC (“BodyArmor”).</t>
  </si>
  <si>
    <t>Refresco Group BV</t>
  </si>
  <si>
    <t>Kohlberg Kravis Roberts &amp; Co LP</t>
  </si>
  <si>
    <t>KKR acquired an undisclosed majority stake in Refresco Group BV, a portfolio company of British Columbia Investment Corp and PAI Partners SAS, for EUR7 billion (US$7.9 billion). The acquisition is in line with global expansion strategy of Refresco Group BV. Following the transaction, British Columbia Investment Corp and PAI Partners SAS would hold minority stake in Refresco Group BV. Founded in 1999, Refresco Group BV is located in Rotterdam, Zuid-Holland, The Netherlands and engages in the bottling of beverages for retailers and brands. The deal was subject to closing conditions. On June 30, 2022, it was announced that, European Commission has approved the transaction.</t>
  </si>
  <si>
    <t>Vital Pharmaceuticals, Inc.</t>
  </si>
  <si>
    <t>Monster Beverage Corp.</t>
  </si>
  <si>
    <t>Monster acquired Vital Pharmaceuticals Inc, known as Bang Energy and VPX Sports, for US$362 million via insolvency. The transaction also includes a beverage production facility located in Phoenix, AZ. The transaction was subject to obtaining Bankruptcy Court approval. The acquisition was a significant event in the beverage industry. The low price can be attributed to: bankruptcy and financial distress; Bang Energy had a failed distribution deal, contributing to declining market share; and lawsuits against Bang Energy. The move by Monster strengthened its position in the energy drink market and took advantage of Bang Energy’s established brand and product line.</t>
  </si>
  <si>
    <t>Vrumona BV</t>
  </si>
  <si>
    <t>Royal Unibrew A/S</t>
  </si>
  <si>
    <t>Royal Unibrew A/S acquired Vrumona BV from Heineken NV for EUR300 million (US$327.3 million) in cash on a debt free basis. Vrumona BV is located in Utrecht, the Netherlands and manufactures and supplies soft drinks. It had generated approximately revenues of EUR200 million (US$218.2 million), adjusted EBITDA was EUR25 million (US$27.3 million)</t>
  </si>
  <si>
    <t>The Beverage Co. (South Africa)</t>
  </si>
  <si>
    <t>Varun Beverages Ltd.</t>
  </si>
  <si>
    <t>Pending</t>
  </si>
  <si>
    <t>South Africa</t>
  </si>
  <si>
    <t>Varun Beverages Ltd (one of PepsiCo's largest franchise bottlers worldwide) agreed to acquire The Beverage Co Ltd for ZAR3 billion (US$161 million) in cash. The Beverage Co Ltd is located in Johannesburg, South Africa and manufactures and distributes non-alcoholic beverages. The deal is expected to close on or before July 31, 2024.</t>
  </si>
  <si>
    <t>Comparable transactions shortlist</t>
  </si>
  <si>
    <t>LTM / Actual</t>
  </si>
  <si>
    <t>Red Bull revenue</t>
  </si>
  <si>
    <t>Red Bull EBITDA</t>
  </si>
  <si>
    <t>Red Bull EBITDA margin</t>
  </si>
  <si>
    <t>Min</t>
  </si>
  <si>
    <t>Max</t>
  </si>
  <si>
    <t>EV / LTM EBITDA</t>
  </si>
  <si>
    <t>LTM revenue</t>
  </si>
  <si>
    <t>Average synergies % LTM revenue</t>
  </si>
  <si>
    <t>Synergy value - DCF method</t>
  </si>
  <si>
    <t>Synergies per annum average (no growth)</t>
  </si>
  <si>
    <t>Synergies % realization</t>
  </si>
  <si>
    <t>Synergies achieved</t>
  </si>
  <si>
    <t>Synergies post tax</t>
  </si>
  <si>
    <t>Synergies discount rate</t>
  </si>
  <si>
    <t>Long term growth rate (inflation only)</t>
  </si>
  <si>
    <t>Present value</t>
  </si>
  <si>
    <t>Present value of Y1-Y3</t>
  </si>
  <si>
    <t>Present value of synergies</t>
  </si>
  <si>
    <t>Valuation Summary</t>
  </si>
  <si>
    <t>All figures in EURm unless otherwise stated</t>
  </si>
  <si>
    <t>CY1</t>
  </si>
  <si>
    <t>CY2</t>
  </si>
  <si>
    <t>EV / CY2 Revenue</t>
  </si>
  <si>
    <t>EV / CY2 EBITDA</t>
  </si>
  <si>
    <t>DCF</t>
  </si>
  <si>
    <t>Average synergies % of target LTM revenue</t>
  </si>
  <si>
    <t>Value of synergies DCF method</t>
  </si>
  <si>
    <t>Implied EV including synergies</t>
  </si>
  <si>
    <t>Transaction multiples</t>
  </si>
  <si>
    <t xml:space="preserve">Min </t>
  </si>
  <si>
    <t>IRR range for year 4 exit</t>
  </si>
  <si>
    <t>EV / LTM EBITDA multiple</t>
  </si>
  <si>
    <t>Football field summary</t>
  </si>
  <si>
    <t>Method</t>
  </si>
  <si>
    <t>Difference</t>
  </si>
  <si>
    <t>Transaction multiples EV</t>
  </si>
  <si>
    <t>Standalone valuation range</t>
  </si>
  <si>
    <t>Y</t>
  </si>
  <si>
    <t>X</t>
  </si>
  <si>
    <t>Description</t>
  </si>
  <si>
    <t>Share price local currency</t>
  </si>
  <si>
    <t>Exchange rate 1 EUR / X USD</t>
  </si>
  <si>
    <t>Exchange rate USD / USD</t>
  </si>
  <si>
    <t>Share price US$</t>
  </si>
  <si>
    <t>Max entry EV / LTM EBITDA multiple</t>
  </si>
  <si>
    <t>Debt and equivalents</t>
  </si>
  <si>
    <t>Acquisition enterprise value</t>
  </si>
  <si>
    <t>Acquirer enterprise value</t>
  </si>
  <si>
    <t>Earnings (USD)</t>
  </si>
  <si>
    <t>CY3</t>
  </si>
  <si>
    <t>Key assumptions</t>
  </si>
  <si>
    <t>Fees % enterprise value</t>
  </si>
  <si>
    <t>Equity financing %</t>
  </si>
  <si>
    <t>Synergies % LTM target revenue</t>
  </si>
  <si>
    <t>Synergies run rate</t>
  </si>
  <si>
    <t>Sources and uses of funds</t>
  </si>
  <si>
    <t>Acquisition equity value</t>
  </si>
  <si>
    <t>Equity financing</t>
  </si>
  <si>
    <t>Fees</t>
  </si>
  <si>
    <t>Target cash</t>
  </si>
  <si>
    <t>Refinanced target debt</t>
  </si>
  <si>
    <t>Debt financing</t>
  </si>
  <si>
    <t>Total uses of funds</t>
  </si>
  <si>
    <t>Total sources of funds</t>
  </si>
  <si>
    <t>Income statement combination</t>
  </si>
  <si>
    <t>Acquirer EBITDA</t>
  </si>
  <si>
    <t>Target EBITDA</t>
  </si>
  <si>
    <t>Pro-forma EBITDA</t>
  </si>
  <si>
    <t>Acquirer net income</t>
  </si>
  <si>
    <t>Target net income</t>
  </si>
  <si>
    <t>Synergies post-tax</t>
  </si>
  <si>
    <t xml:space="preserve">Interest expense on acquisition debt, after tax </t>
  </si>
  <si>
    <t xml:space="preserve">Interest expense saved on refinanced target debt, after tax </t>
  </si>
  <si>
    <t>Interest income foregone on target cash used, after tax</t>
  </si>
  <si>
    <t>Pro-forma net income</t>
  </si>
  <si>
    <t>Acquirer diluted shares outstanding</t>
  </si>
  <si>
    <t>New shares issued</t>
  </si>
  <si>
    <t>Pro-forma diluted shares outstanding</t>
  </si>
  <si>
    <t>Pre-deal EPS</t>
  </si>
  <si>
    <t>Pro-forma EPS</t>
  </si>
  <si>
    <t>Accretion (dilution) %</t>
  </si>
  <si>
    <t>Additional synergies to breakeven</t>
  </si>
  <si>
    <t>Analysis of CY3 EPS accretion / dilution arising from sensitizing EV multiple and capital structure</t>
  </si>
  <si>
    <t>Red Bull LTM EBITDA</t>
  </si>
  <si>
    <t>% equity financing</t>
  </si>
  <si>
    <t>Acquisition EV / EBITDA multiple</t>
  </si>
  <si>
    <t>Acquisition EV</t>
  </si>
  <si>
    <t>Leverage ratios</t>
  </si>
  <si>
    <t>Acquirer net debt pre-deal</t>
  </si>
  <si>
    <t>Acquirer EBITDA pre deal</t>
  </si>
  <si>
    <t>Acquirer net debt / EBITDA</t>
  </si>
  <si>
    <t>Acquisition debt</t>
  </si>
  <si>
    <t>Pro-forma net debt</t>
  </si>
  <si>
    <t>Pro-forma net debt / EBITDA</t>
  </si>
  <si>
    <t>Current acquirer credit rating</t>
  </si>
  <si>
    <t>Price earnings analysis</t>
  </si>
  <si>
    <t>Acquirer P/E</t>
  </si>
  <si>
    <t>Debt P/E</t>
  </si>
  <si>
    <t>Acquisition P/E</t>
  </si>
  <si>
    <t>Return on capital analysis</t>
  </si>
  <si>
    <t>NOPAT with synergies</t>
  </si>
  <si>
    <t>Analysis at various prices</t>
  </si>
  <si>
    <t>Median EV / LTM EBITDA trading comp multiple</t>
  </si>
  <si>
    <t>Median EV / LTM EBITDA transaction comp multiple</t>
  </si>
  <si>
    <t>Ownership post deal</t>
  </si>
  <si>
    <t xml:space="preserve">Number </t>
  </si>
  <si>
    <t>Percent</t>
  </si>
  <si>
    <t>Acquirer shares outstanding</t>
  </si>
  <si>
    <t>Pro-forma shares</t>
  </si>
  <si>
    <t>Exchange ratio (new per 1 old)</t>
  </si>
  <si>
    <t>Cash offered per share</t>
  </si>
  <si>
    <t>Implied standalone value</t>
  </si>
  <si>
    <t>Total purchase price</t>
  </si>
  <si>
    <t>Check - Trading comps EV (using CY2 EBITDA)</t>
  </si>
  <si>
    <t>Check - DCF EV using long term growth method</t>
  </si>
  <si>
    <t>X LTM EBITDA</t>
  </si>
  <si>
    <t>Senior debt</t>
  </si>
  <si>
    <t>Max debt / EBITDA multiple</t>
  </si>
  <si>
    <t>Unsecured notes</t>
  </si>
  <si>
    <t>Max exit EV / LTM EBITDA multiple</t>
  </si>
  <si>
    <t>Cost of debt financing - spread</t>
  </si>
  <si>
    <t>Cost of senior debt</t>
  </si>
  <si>
    <t>Cost of unsecured notes</t>
  </si>
  <si>
    <t>Fees % of enterprise value</t>
  </si>
  <si>
    <t>Exit year</t>
  </si>
  <si>
    <t>Key numbers</t>
  </si>
  <si>
    <t>Cost savings % revenue</t>
  </si>
  <si>
    <t>Cost savings</t>
  </si>
  <si>
    <t>Adjusted EBITDA</t>
  </si>
  <si>
    <t>Adjusted EBITDA margin</t>
  </si>
  <si>
    <t>EBIT pre cost savings</t>
  </si>
  <si>
    <t>Cash flows to service debt</t>
  </si>
  <si>
    <t>Cash flow available for debt repayment</t>
  </si>
  <si>
    <t>Debt servicing</t>
  </si>
  <si>
    <t>Beginning senior debt balance</t>
  </si>
  <si>
    <t>Issuance (repayment)</t>
  </si>
  <si>
    <t>Ending senior debt balance</t>
  </si>
  <si>
    <t>Cash flow available for debt, after senior debt repayment</t>
  </si>
  <si>
    <t>Beginning unsecured notes</t>
  </si>
  <si>
    <t>Ending unsecured notes</t>
  </si>
  <si>
    <t>Ending cash</t>
  </si>
  <si>
    <t>Beginning debt repaid</t>
  </si>
  <si>
    <t>Senior debt repayment</t>
  </si>
  <si>
    <t>Unsecured notes repayment</t>
  </si>
  <si>
    <t>Ending debt repaid</t>
  </si>
  <si>
    <t>Total debt at acquisition</t>
  </si>
  <si>
    <t>Debt paydown % of total debt</t>
  </si>
  <si>
    <t>Returns to equity holders</t>
  </si>
  <si>
    <t>Year count</t>
  </si>
  <si>
    <t>Equity value</t>
  </si>
  <si>
    <t>Cash flows to equity holders</t>
  </si>
  <si>
    <t>IRR</t>
  </si>
  <si>
    <t>Sensitivity analysis</t>
  </si>
  <si>
    <t>IRR assuming changes in entry multiple and exit year</t>
  </si>
  <si>
    <t>Entry multiple</t>
  </si>
  <si>
    <t>Scratchpad for additional workings</t>
  </si>
  <si>
    <t>Factset codes</t>
  </si>
  <si>
    <t>Summary sheet code name</t>
  </si>
  <si>
    <t>Delete sheet on new target ticker</t>
  </si>
  <si>
    <t>TUMI-US</t>
  </si>
  <si>
    <t>31/12/2015</t>
  </si>
  <si>
    <t>Last filing date</t>
  </si>
  <si>
    <t>01-Jun-16</t>
  </si>
  <si>
    <t>Trading information</t>
  </si>
  <si>
    <t>Free float (MM)</t>
  </si>
  <si>
    <t>LTM dividend yield</t>
  </si>
  <si>
    <t>Historical 5 year beta</t>
  </si>
  <si>
    <t/>
  </si>
  <si>
    <t>Balance sheet data</t>
  </si>
  <si>
    <t>NCI book value</t>
  </si>
  <si>
    <t xml:space="preserve">Historical income statement NCI </t>
  </si>
  <si>
    <t>Balance sheet ST debt</t>
  </si>
  <si>
    <t>Balance sheet LT debt</t>
  </si>
  <si>
    <t>Financial derivative liabilities</t>
  </si>
  <si>
    <t>Balance sheet cash and equivalents</t>
  </si>
  <si>
    <t>ST financial investments</t>
  </si>
  <si>
    <t>LT financial investments</t>
  </si>
  <si>
    <t>Non-core assets</t>
  </si>
  <si>
    <t>Earnings and estimates</t>
  </si>
  <si>
    <t>Latest annual</t>
  </si>
  <si>
    <t>Revenues</t>
  </si>
  <si>
    <t>Gross interest expense</t>
  </si>
  <si>
    <t>Free cash flow</t>
  </si>
  <si>
    <t>Share options and restricted stock units</t>
  </si>
  <si>
    <t>WA strike price</t>
  </si>
  <si>
    <t>CapIQ - total options year end</t>
  </si>
  <si>
    <t>CapIQ - total options quarter end</t>
  </si>
  <si>
    <t>CapIQ options used</t>
  </si>
  <si>
    <t>Manual tranche 1</t>
  </si>
  <si>
    <t>Manual tranche 2</t>
  </si>
  <si>
    <t>Manual tranche 3</t>
  </si>
  <si>
    <t>Manual tranche 4</t>
  </si>
  <si>
    <t>Manual tranche 5</t>
  </si>
  <si>
    <t>Projected benefit obligation</t>
  </si>
  <si>
    <t>Fair value of plan assets</t>
  </si>
  <si>
    <t>Total pension and OPEB expense</t>
  </si>
  <si>
    <t>Pension service cost</t>
  </si>
  <si>
    <t>Return on plan assets</t>
  </si>
  <si>
    <t>LTM rent expense</t>
  </si>
  <si>
    <t>Amgad Bashir</t>
  </si>
  <si>
    <t xml:space="preserve">Median </t>
  </si>
  <si>
    <t>Average</t>
  </si>
  <si>
    <t>Implied terminal EBITDA LTM multiple</t>
  </si>
  <si>
    <t>&lt;6x</t>
  </si>
  <si>
    <t>Senior debt (term B tranche)</t>
  </si>
  <si>
    <t>Paid off within 7 years</t>
  </si>
  <si>
    <t>50% paid off within 7 years</t>
  </si>
  <si>
    <t>Equity to be at least</t>
  </si>
  <si>
    <t xml:space="preserve">Total debt </t>
  </si>
  <si>
    <t>Of the initial captial structure</t>
  </si>
  <si>
    <t>Adjustmenents to LTM EBITDA</t>
  </si>
  <si>
    <t>No greater than 25% of the base EBITDA or unadjusted EBITDA</t>
  </si>
  <si>
    <t>Leveraged Structure</t>
  </si>
  <si>
    <t xml:space="preserve">Equity returns </t>
  </si>
  <si>
    <t>Returns within a range of 20-25% IRR</t>
  </si>
  <si>
    <t>Low risk transactions e.g. infrastructure assets a high teens IRR</t>
  </si>
  <si>
    <t>12/31/2025</t>
  </si>
  <si>
    <t>Source: Felix 23rd February 2026</t>
  </si>
  <si>
    <t>09/30/2025</t>
  </si>
  <si>
    <t>BBB</t>
  </si>
  <si>
    <t>Last 9 months 2024</t>
  </si>
  <si>
    <t>Last 9 months 2025</t>
  </si>
  <si>
    <t>2027e</t>
  </si>
  <si>
    <t>EUR/USD</t>
  </si>
  <si>
    <t>BN-FR</t>
  </si>
  <si>
    <t>GBP/USD</t>
  </si>
  <si>
    <t xml:space="preserve">Tranche 3 </t>
  </si>
  <si>
    <t>RSUs and Performance share units</t>
  </si>
  <si>
    <t>Red Bull 2027 net income</t>
  </si>
  <si>
    <t>Red Bull 2027 EBITDA</t>
  </si>
  <si>
    <t>Market risk premium (incl. country risk premium)</t>
  </si>
  <si>
    <t>Red Bull GmbH — Valuation &amp; M&amp;A Analysis</t>
  </si>
  <si>
    <t>Confidential — For Discussion Purposes Only</t>
  </si>
  <si>
    <t>Analysis Date</t>
  </si>
  <si>
    <t>EUR / USD (as noted)</t>
  </si>
  <si>
    <t>Analyst</t>
  </si>
  <si>
    <t>Table of Contents</t>
  </si>
  <si>
    <t>#</t>
  </si>
  <si>
    <t>Tab</t>
  </si>
  <si>
    <t>Red Bull Model</t>
  </si>
  <si>
    <t>3-statement financial forecast (IS / BS / CF)</t>
  </si>
  <si>
    <t>Weighted average cost of capital</t>
  </si>
  <si>
    <t>Discounted cash flow valuation</t>
  </si>
  <si>
    <t>Trading Comps</t>
  </si>
  <si>
    <t>Public company comparable analysis</t>
  </si>
  <si>
    <t xml:space="preserve">  1 / 2 / 3</t>
  </si>
  <si>
    <t>Transaction Comps</t>
  </si>
  <si>
    <t>Precedent transaction analysis</t>
  </si>
  <si>
    <t>Football field — consolidated valuation ranges</t>
  </si>
  <si>
    <t>Synergy value DCF analysis</t>
  </si>
  <si>
    <t>Acquisition scenario — accretion / dilution</t>
  </si>
  <si>
    <t>Leveraged buyout — IRR sensitivity</t>
  </si>
  <si>
    <t>Color Legend</t>
  </si>
  <si>
    <t>Input cell — hardcoded assumption</t>
  </si>
  <si>
    <t>Hardcoded value (no input shading)</t>
  </si>
  <si>
    <t>Formula / calculation</t>
  </si>
  <si>
    <t>Cross-sheet link</t>
  </si>
  <si>
    <t>Key assumption — review required</t>
  </si>
  <si>
    <t>Actual / Est.</t>
  </si>
  <si>
    <t xml:space="preserve">Individual company tearsheets </t>
  </si>
  <si>
    <t>CapIQ EBIT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</si>
</sst>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9">
    <numFmt numFmtId="164" formatCode="_(* #,##0_);_(* \(#,##0\);_(* &quot;-&quot;_);_(@_)"/>
    <numFmt numFmtId="165" formatCode="_(* #,##0.00_);_(* \(#,##0.00\);_(* &quot;-&quot;??_);_(@_)"/>
    <numFmt numFmtId="166" formatCode="_(&quot;£&quot;* #,##0_);_(&quot;£&quot;* \(#,##0\);_(&quot;£&quot;* &quot;-&quot;_);_(@_)"/>
    <numFmt numFmtId="167" formatCode="_(&quot;£&quot;* #,##0.00_);_(&quot;£&quot;* \(#,##0.00\);_(&quot;£&quot;* &quot;-&quot;??_);_(@_)"/>
    <numFmt numFmtId="168" formatCode="#,##0.0_);\(#,##0.0\);0.0_);@_)"/>
    <numFmt numFmtId="169" formatCode="#,##0.0_);\(#,##0.0\)\,0.0_);@_)"/>
    <numFmt numFmtId="170" formatCode="[$-409]d\-mmm\-yy"/>
    <numFmt numFmtId="171" formatCode="0.0%_);\(0.0%\)"/>
    <numFmt numFmtId="172" formatCode="#,##0.0\ \x_);\(#,##0.0\ \x\)"/>
    <numFmt numFmtId="173" formatCode="dd\-mmm\-yy_)"/>
    <numFmt numFmtId="174" formatCode="#,##0.00_);\(#,##0.00\);0.00_);@_)"/>
    <numFmt numFmtId="175" formatCode="#,##0.000_);\(#,##0.000\);0.000_);@_)"/>
    <numFmt numFmtId="176" formatCode="#,##0.00000_);\(#,##0.00000\);0.00000_);@_)"/>
    <numFmt numFmtId="177" formatCode="0.00%_);\(0.00%\)"/>
    <numFmt numFmtId="178" formatCode="###,###,##0.00"/>
    <numFmt numFmtId="179" formatCode="[$-409]d\-mmm\-yy;@"/>
    <numFmt numFmtId="180" formatCode="#,##0.0\ \x_);\(#,##0.0\ \x\);"/>
    <numFmt numFmtId="181" formatCode="#,##0.0%_);\(#,##0.0%\)"/>
    <numFmt numFmtId="182" formatCode="dd\-mmm\-yyyy"/>
  </numFmts>
  <fonts count="76" x14ac:knownFonts="1">
    <font>
      <sz val="11"/>
      <name val="Calibri"/>
      <family val="2"/>
      <scheme val="minor"/>
    </font>
    <font>
      <sz val="20"/>
      <color theme="1"/>
      <name val="Calibri"/>
      <family val="2"/>
      <scheme val="minor"/>
    </font>
    <font>
      <sz val="20"/>
      <color theme="1"/>
      <name val="Calibri"/>
      <family val="2"/>
      <scheme val="minor"/>
    </font>
    <font>
      <sz val="11"/>
      <color theme="1"/>
      <name val="Calibri"/>
      <family val="2"/>
    </font>
    <font>
      <sz val="22"/>
      <color theme="0"/>
      <name val="Calibri"/>
      <family val="2"/>
    </font>
    <font>
      <sz val="11"/>
      <name val="Arial"/>
      <family val="2"/>
    </font>
    <font>
      <sz val="18"/>
      <color theme="0"/>
      <name val="Calibri"/>
      <family val="2"/>
    </font>
    <font>
      <sz val="11"/>
      <color rgb="FF6E6E6E"/>
      <name val="Calibri"/>
      <family val="2"/>
    </font>
    <font>
      <b/>
      <sz val="12"/>
      <color rgb="FF163260"/>
      <name val="Calibri"/>
      <family val="2"/>
    </font>
    <font>
      <sz val="10"/>
      <color rgb="FF085393"/>
      <name val="Calibri"/>
      <family val="2"/>
    </font>
    <font>
      <sz val="11"/>
      <color rgb="FF085393"/>
      <name val="Calibri"/>
      <family val="2"/>
    </font>
    <font>
      <sz val="14"/>
      <color theme="0"/>
      <name val="Calibri"/>
      <family val="2"/>
    </font>
    <font>
      <sz val="11"/>
      <color rgb="FF0000FF"/>
      <name val="Calibri"/>
      <family val="2"/>
    </font>
    <font>
      <sz val="11"/>
      <color theme="0"/>
      <name val="Calibri"/>
      <family val="2"/>
    </font>
    <font>
      <sz val="11"/>
      <color rgb="FFFF0000"/>
      <name val="Calibri"/>
      <family val="2"/>
    </font>
    <font>
      <sz val="11"/>
      <color rgb="FF404040"/>
      <name val="Calibri"/>
      <family val="2"/>
    </font>
    <font>
      <i/>
      <sz val="11"/>
      <color rgb="FF6E6E6E"/>
      <name val="Calibri"/>
      <family val="2"/>
    </font>
    <font>
      <sz val="10"/>
      <color theme="0"/>
      <name val="Calibri"/>
      <family val="2"/>
    </font>
    <font>
      <sz val="9"/>
      <color indexed="81"/>
      <name val="Tahoma"/>
      <family val="2"/>
    </font>
    <font>
      <b/>
      <sz val="9"/>
      <color indexed="81"/>
      <name val="Tahoma"/>
      <family val="2"/>
    </font>
    <font>
      <sz val="11"/>
      <color rgb="FF0000FF"/>
      <name val="Calibri"/>
      <family val="2"/>
      <scheme val="minor"/>
    </font>
    <font>
      <sz val="11"/>
      <color theme="1"/>
      <name val="Calibri"/>
      <family val="2"/>
      <scheme val="minor"/>
    </font>
    <font>
      <sz val="11"/>
      <color rgb="FF000000"/>
      <name val="Calibri"/>
      <family val="2"/>
      <scheme val="minor"/>
    </font>
    <font>
      <sz val="20"/>
      <color rgb="FF006100"/>
      <name val="Calibri"/>
      <family val="2"/>
      <scheme val="minor"/>
    </font>
    <font>
      <sz val="20"/>
      <color rgb="FF9C0006"/>
      <name val="Calibri"/>
      <family val="2"/>
      <scheme val="minor"/>
    </font>
    <font>
      <sz val="20"/>
      <color rgb="FF9C5700"/>
      <name val="Calibri"/>
      <family val="2"/>
      <scheme val="minor"/>
    </font>
    <font>
      <b/>
      <sz val="20"/>
      <color rgb="FF3F3F3F"/>
      <name val="Calibri"/>
      <family val="2"/>
      <scheme val="minor"/>
    </font>
    <font>
      <b/>
      <sz val="20"/>
      <color rgb="FFFA7D00"/>
      <name val="Calibri"/>
      <family val="2"/>
      <scheme val="minor"/>
    </font>
    <font>
      <sz val="20"/>
      <color rgb="FFFA7D00"/>
      <name val="Calibri"/>
      <family val="2"/>
      <scheme val="minor"/>
    </font>
    <font>
      <b/>
      <sz val="20"/>
      <color theme="0"/>
      <name val="Calibri"/>
      <family val="2"/>
      <scheme val="minor"/>
    </font>
    <font>
      <sz val="20"/>
      <color rgb="FFFF0000"/>
      <name val="Calibri"/>
      <family val="2"/>
      <scheme val="minor"/>
    </font>
    <font>
      <i/>
      <sz val="20"/>
      <color rgb="FF7F7F7F"/>
      <name val="Calibri"/>
      <family val="2"/>
      <scheme val="minor"/>
    </font>
    <font>
      <sz val="11"/>
      <color theme="1" tint="0.249977111117893"/>
      <name val="Calibri"/>
      <family val="2"/>
      <scheme val="minor"/>
    </font>
    <font>
      <sz val="11"/>
      <color theme="0"/>
      <name val="Calibri"/>
      <family val="2"/>
      <scheme val="minor"/>
    </font>
    <font>
      <sz val="11"/>
      <name val="Calibri"/>
      <family val="2"/>
      <scheme val="minor"/>
    </font>
    <font>
      <sz val="9"/>
      <color theme="0"/>
      <name val="Calibri"/>
      <family val="2"/>
      <scheme val="minor"/>
    </font>
    <font>
      <u/>
      <sz val="11"/>
      <color theme="11"/>
      <name val="Calibri"/>
      <family val="2"/>
      <scheme val="minor"/>
    </font>
    <font>
      <u/>
      <sz val="11"/>
      <color theme="10"/>
      <name val="Calibri"/>
      <family val="2"/>
      <scheme val="minor"/>
    </font>
    <font>
      <sz val="22"/>
      <color theme="0"/>
      <name val="Calibri"/>
      <family val="2"/>
      <scheme val="major"/>
    </font>
    <font>
      <sz val="14"/>
      <color theme="0"/>
      <name val="Calibri"/>
      <family val="2"/>
      <scheme val="major"/>
    </font>
    <font>
      <b/>
      <sz val="12"/>
      <color rgb="FF163260"/>
      <name val="Calibri"/>
      <family val="2"/>
      <scheme val="minor"/>
    </font>
    <font>
      <sz val="18"/>
      <color theme="3"/>
      <name val="Calibri"/>
      <family val="2"/>
      <scheme val="major"/>
    </font>
    <font>
      <b/>
      <sz val="15"/>
      <color theme="3"/>
      <name val="Calibri"/>
      <family val="2"/>
      <scheme val="minor"/>
    </font>
    <font>
      <b/>
      <sz val="13"/>
      <color theme="3"/>
      <name val="Calibri"/>
      <family val="2"/>
      <scheme val="minor"/>
    </font>
    <font>
      <b/>
      <sz val="11"/>
      <color theme="3"/>
      <name val="Calibri"/>
      <family val="2"/>
      <scheme val="minor"/>
    </font>
    <font>
      <b/>
      <sz val="20"/>
      <color theme="1"/>
      <name val="Calibri"/>
      <family val="2"/>
      <scheme val="minor"/>
    </font>
    <font>
      <sz val="20"/>
      <color theme="0"/>
      <name val="Calibri"/>
      <family val="2"/>
      <scheme val="minor"/>
    </font>
    <font>
      <i/>
      <sz val="11"/>
      <color theme="1"/>
      <name val="Calibri"/>
      <family val="2"/>
    </font>
    <font>
      <b/>
      <sz val="11"/>
      <name val="Calibri"/>
      <family val="2"/>
      <scheme val="minor"/>
    </font>
    <font>
      <sz val="11"/>
      <color rgb="FFFF0000"/>
      <name val="Calibri"/>
      <family val="2"/>
      <scheme val="minor"/>
    </font>
    <font>
      <sz val="11"/>
      <name val="Calibri"/>
      <family val="2"/>
    </font>
    <font>
      <b/>
      <sz val="11"/>
      <color rgb="FF0000FF"/>
      <name val="Calibri"/>
      <family val="2"/>
    </font>
    <font>
      <b/>
      <sz val="11"/>
      <color theme="1"/>
      <name val="Calibri"/>
      <family val="2"/>
    </font>
    <font>
      <b/>
      <sz val="11"/>
      <color rgb="FF0000FF"/>
      <name val="Calibri"/>
      <family val="2"/>
      <scheme val="minor"/>
    </font>
    <font>
      <b/>
      <sz val="11"/>
      <color rgb="FF333333"/>
      <name val="Arial"/>
      <family val="2"/>
    </font>
    <font>
      <b/>
      <i/>
      <sz val="11"/>
      <color rgb="FF333333"/>
      <name val="Arial"/>
      <family val="2"/>
    </font>
    <font>
      <b/>
      <sz val="20"/>
      <color rgb="FFFFFFFF"/>
      <name val="Calibri"/>
      <family val="2"/>
    </font>
    <font>
      <i/>
      <sz val="10"/>
      <color rgb="FFB0C4DE"/>
      <name val="Calibri"/>
      <family val="2"/>
      <scheme val="minor"/>
    </font>
    <font>
      <b/>
      <sz val="13"/>
      <color rgb="FF163260"/>
      <name val="Calibri"/>
      <family val="2"/>
    </font>
    <font>
      <sz val="11"/>
      <color rgb="FF163260"/>
      <name val="Calibri"/>
      <family val="2"/>
    </font>
    <font>
      <b/>
      <sz val="11"/>
      <color rgb="FF163260"/>
      <name val="Calibri"/>
      <family val="2"/>
    </font>
    <font>
      <i/>
      <sz val="9"/>
      <color rgb="FF999999"/>
      <name val="Calibri"/>
      <family val="2"/>
    </font>
    <font>
      <b/>
      <sz val="13"/>
      <color rgb="FF163260"/>
      <name val="Calibri"/>
      <family val="2"/>
      <scheme val="minor"/>
    </font>
    <font>
      <b/>
      <sz val="10"/>
      <color rgb="FF085393"/>
      <name val="Calibri"/>
      <family val="2"/>
      <scheme val="minor"/>
    </font>
    <font>
      <sz val="10"/>
      <color rgb="FF163260"/>
      <name val="Calibri"/>
      <family val="2"/>
      <scheme val="minor"/>
    </font>
    <font>
      <b/>
      <sz val="10"/>
      <color rgb="FF163260"/>
      <name val="Calibri"/>
      <family val="2"/>
      <scheme val="minor"/>
    </font>
    <font>
      <sz val="10"/>
      <color rgb="FF6E6E6E"/>
      <name val="Calibri"/>
      <family val="2"/>
      <scheme val="minor"/>
    </font>
    <font>
      <sz val="10"/>
      <color rgb="FF999999"/>
      <name val="Calibri"/>
      <family val="2"/>
      <scheme val="minor"/>
    </font>
    <font>
      <i/>
      <sz val="10"/>
      <color rgb="FF999999"/>
      <name val="Calibri"/>
      <family val="2"/>
      <scheme val="minor"/>
    </font>
    <font>
      <sz val="10"/>
      <color rgb="FF0000FF"/>
      <name val="Calibri"/>
      <family val="2"/>
      <scheme val="minor"/>
    </font>
    <font>
      <sz val="10"/>
      <color rgb="FF000000"/>
      <name val="Calibri"/>
      <family val="2"/>
      <scheme val="minor"/>
    </font>
    <font>
      <sz val="10"/>
      <color rgb="FF008000"/>
      <name val="Calibri"/>
      <family val="2"/>
      <scheme val="minor"/>
    </font>
    <font>
      <sz val="11"/>
      <color rgb="FF008000"/>
      <name val="Calibri"/>
      <family val="2"/>
      <scheme val="minor"/>
    </font>
    <font>
      <sz val="11"/>
      <color rgb="FF000000"/>
      <name val="Calibri"/>
      <family val="2"/>
    </font>
    <font>
      <sz val="11"/>
      <color rgb="FF008000"/>
      <name val="Calibri"/>
      <family val="2"/>
    </font>
    <font>
      <b/>
      <sz val="18"/>
      <color rgb="FFFFFFFF"/>
      <name val="Calibri"/>
      <family val="2"/>
    </font>
  </fonts>
  <fills count="47">
    <fill>
      <patternFill patternType="none"/>
    </fill>
    <fill>
      <patternFill patternType="gray125"/>
    </fill>
    <fill>
      <patternFill patternType="solid">
        <fgColor rgb="FF163260"/>
        <bgColor rgb="FF163260"/>
      </patternFill>
    </fill>
    <fill>
      <patternFill patternType="solid">
        <fgColor rgb="FF085393"/>
        <bgColor rgb="FF085393"/>
      </patternFill>
    </fill>
    <fill>
      <patternFill patternType="solid">
        <fgColor rgb="FFF2F2F2"/>
        <bgColor rgb="FFF2F2F2"/>
      </patternFill>
    </fill>
    <fill>
      <patternFill patternType="solid">
        <fgColor theme="0"/>
        <bgColor theme="0"/>
      </patternFill>
    </fill>
    <fill>
      <patternFill patternType="solid">
        <fgColor rgb="FFDBEEFD"/>
        <bgColor rgb="FFDBEEFD"/>
      </patternFill>
    </fill>
    <fill>
      <patternFill patternType="solid">
        <fgColor rgb="FFF0F8FE"/>
        <bgColor rgb="FFF0F8FE"/>
      </patternFill>
    </fill>
    <fill>
      <patternFill patternType="solid">
        <fgColor rgb="FFC6EFCE"/>
      </patternFill>
    </fill>
    <fill>
      <patternFill patternType="solid">
        <fgColor rgb="FFFFC7CE"/>
      </patternFill>
    </fill>
    <fill>
      <patternFill patternType="solid">
        <fgColor rgb="FFFFEB9C"/>
      </patternFill>
    </fill>
    <fill>
      <patternFill patternType="solid">
        <fgColor rgb="FFF2F2F2"/>
      </patternFill>
    </fill>
    <fill>
      <patternFill patternType="solid">
        <fgColor rgb="FFA5A5A5"/>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0" tint="-4.9989318521683403E-2"/>
        <bgColor indexed="64"/>
      </patternFill>
    </fill>
    <fill>
      <patternFill patternType="solid">
        <fgColor rgb="FF163260"/>
        <bgColor indexed="64"/>
      </patternFill>
    </fill>
    <fill>
      <patternFill patternType="solid">
        <fgColor rgb="FF085393"/>
        <bgColor indexed="64"/>
      </patternFill>
    </fill>
    <fill>
      <patternFill patternType="solid">
        <fgColor rgb="FFDBEEFD"/>
        <bgColor indexed="64"/>
      </patternFill>
    </fill>
    <fill>
      <patternFill patternType="solid">
        <fgColor theme="4"/>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CC"/>
      </patternFill>
    </fill>
    <fill>
      <patternFill patternType="solid">
        <fgColor rgb="FFFFFFFF"/>
        <bgColor indexed="64"/>
      </patternFill>
    </fill>
    <fill>
      <patternFill patternType="solid">
        <fgColor rgb="FFF2F2F2"/>
        <bgColor indexed="64"/>
      </patternFill>
    </fill>
    <fill>
      <patternFill patternType="solid">
        <fgColor rgb="FFFFFF00"/>
        <bgColor indexed="64"/>
      </patternFill>
    </fill>
    <fill>
      <patternFill patternType="solid">
        <fgColor theme="4"/>
        <bgColor indexed="64"/>
      </patternFill>
    </fill>
    <fill>
      <patternFill patternType="solid">
        <fgColor rgb="FF163260"/>
        <bgColor rgb="FF085393"/>
      </patternFill>
    </fill>
  </fills>
  <borders count="37">
    <border>
      <left/>
      <right/>
      <top/>
      <bottom/>
      <diagonal/>
    </border>
    <border>
      <left/>
      <right/>
      <top/>
      <bottom/>
      <diagonal/>
    </border>
    <border>
      <left/>
      <right/>
      <top/>
      <bottom style="medium">
        <color rgb="FFD8D8D8"/>
      </bottom>
      <diagonal/>
    </border>
    <border>
      <left style="thin">
        <color rgb="FFBBDEFB"/>
      </left>
      <right style="thin">
        <color rgb="FFBBDEFB"/>
      </right>
      <top style="thin">
        <color rgb="FFBBDEFB"/>
      </top>
      <bottom style="thin">
        <color rgb="FFBBDEFB"/>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style="thin">
        <color rgb="FFBBDEFB"/>
      </left>
      <right style="thin">
        <color rgb="FF000000"/>
      </right>
      <top/>
      <bottom style="thin">
        <color rgb="FFBBDEFB"/>
      </bottom>
      <diagonal/>
    </border>
    <border>
      <left/>
      <right style="thin">
        <color rgb="FF000000"/>
      </right>
      <top/>
      <bottom/>
      <diagonal/>
    </border>
    <border>
      <left style="thin">
        <color rgb="FFBBDEFB"/>
      </left>
      <right style="thin">
        <color rgb="FF000000"/>
      </right>
      <top style="thin">
        <color rgb="FFBBDEFB"/>
      </top>
      <bottom style="thin">
        <color rgb="FFBBDEFB"/>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style="thin">
        <color rgb="FF000000"/>
      </right>
      <top style="thin">
        <color rgb="FFBBDEFB"/>
      </top>
      <bottom/>
      <diagonal/>
    </border>
    <border>
      <left style="thin">
        <color rgb="FF000000"/>
      </left>
      <right style="thin">
        <color rgb="FFBBDEFB"/>
      </right>
      <top style="thin">
        <color rgb="FFBBDEFB"/>
      </top>
      <bottom style="thin">
        <color rgb="FFBBDEFB"/>
      </bottom>
      <diagonal/>
    </border>
    <border>
      <left/>
      <right/>
      <top/>
      <bottom style="medium">
        <color rgb="FFE2F1FE"/>
      </bottom>
      <diagonal/>
    </border>
    <border>
      <left style="thin">
        <color rgb="FFBBDEFB"/>
      </left>
      <right style="thin">
        <color indexed="64"/>
      </right>
      <top style="thin">
        <color rgb="FFBBDEFB"/>
      </top>
      <bottom style="thin">
        <color rgb="FFBBDEFB"/>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style="thin">
        <color theme="4"/>
      </top>
      <bottom style="double">
        <color theme="4"/>
      </bottom>
      <diagonal/>
    </border>
    <border>
      <left/>
      <right style="thin">
        <color indexed="64"/>
      </right>
      <top/>
      <bottom/>
      <diagonal/>
    </border>
    <border>
      <left/>
      <right style="thin">
        <color indexed="64"/>
      </right>
      <top/>
      <bottom style="thin">
        <color indexed="64"/>
      </bottom>
      <diagonal/>
    </border>
    <border>
      <left/>
      <right style="thin">
        <color indexed="64"/>
      </right>
      <top style="thin">
        <color rgb="FF000000"/>
      </top>
      <bottom/>
      <diagonal/>
    </border>
    <border>
      <left/>
      <right/>
      <top/>
      <bottom style="thin">
        <color indexed="64"/>
      </bottom>
      <diagonal/>
    </border>
    <border>
      <left style="thin">
        <color rgb="FFBBDEFB"/>
      </left>
      <right style="thin">
        <color rgb="FFBBDEFB"/>
      </right>
      <top style="thin">
        <color rgb="FFBBDEFB"/>
      </top>
      <bottom/>
      <diagonal/>
    </border>
    <border>
      <left style="thin">
        <color rgb="FFB2B2B2"/>
      </left>
      <right style="thin">
        <color rgb="FFB2B2B2"/>
      </right>
      <top style="thin">
        <color rgb="FFB2B2B2"/>
      </top>
      <bottom style="thin">
        <color rgb="FFB2B2B2"/>
      </bottom>
      <diagonal/>
    </border>
    <border>
      <left style="thin">
        <color indexed="64"/>
      </left>
      <right style="thin">
        <color rgb="FF000000"/>
      </right>
      <top/>
      <bottom/>
      <diagonal/>
    </border>
    <border>
      <left style="medium">
        <color rgb="FFCCCCCC"/>
      </left>
      <right style="medium">
        <color rgb="FFCCCCCC"/>
      </right>
      <top style="medium">
        <color rgb="FFCCCCCC"/>
      </top>
      <bottom style="medium">
        <color rgb="FFCCCCCC"/>
      </bottom>
      <diagonal/>
    </border>
    <border>
      <left/>
      <right/>
      <top/>
      <bottom style="medium">
        <color rgb="FF163260"/>
      </bottom>
      <diagonal/>
    </border>
    <border>
      <left/>
      <right/>
      <top style="medium">
        <color rgb="FF163260"/>
      </top>
      <bottom/>
      <diagonal/>
    </border>
    <border>
      <left/>
      <right/>
      <top/>
      <bottom style="thin">
        <color rgb="FFD8D8D8"/>
      </bottom>
      <diagonal/>
    </border>
  </borders>
  <cellStyleXfs count="59">
    <xf numFmtId="168" fontId="0" fillId="0" borderId="1"/>
    <xf numFmtId="168" fontId="37" fillId="0" borderId="1" applyNumberFormat="0" applyFill="0" applyBorder="0" applyAlignment="0" applyProtection="0"/>
    <xf numFmtId="168" fontId="36" fillId="0" borderId="1" applyNumberFormat="0" applyFill="0" applyBorder="0" applyAlignment="0" applyProtection="0"/>
    <xf numFmtId="171" fontId="34" fillId="19" borderId="1" applyFont="0" applyFill="0" applyBorder="0" applyAlignment="0" applyProtection="0"/>
    <xf numFmtId="0" fontId="23" fillId="8" borderId="0" applyNumberFormat="0" applyBorder="0" applyAlignment="0" applyProtection="0"/>
    <xf numFmtId="0" fontId="24" fillId="9" borderId="0" applyNumberFormat="0" applyBorder="0" applyAlignment="0" applyProtection="0"/>
    <xf numFmtId="0" fontId="25" fillId="10" borderId="0" applyNumberFormat="0" applyBorder="0" applyAlignment="0" applyProtection="0"/>
    <xf numFmtId="180" fontId="20" fillId="21" borderId="3" applyNumberFormat="0">
      <protection locked="0"/>
    </xf>
    <xf numFmtId="0" fontId="26" fillId="11" borderId="19" applyNumberFormat="0" applyAlignment="0" applyProtection="0"/>
    <xf numFmtId="0" fontId="27" fillId="11" borderId="18" applyNumberFormat="0" applyAlignment="0" applyProtection="0"/>
    <xf numFmtId="0" fontId="28" fillId="0" borderId="20" applyNumberFormat="0" applyFill="0" applyAlignment="0" applyProtection="0"/>
    <xf numFmtId="0" fontId="29" fillId="12" borderId="21" applyNumberFormat="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2"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 fillId="16" borderId="0" applyNumberFormat="0" applyBorder="0" applyAlignment="0" applyProtection="0"/>
    <xf numFmtId="0" fontId="2" fillId="17" borderId="0" applyNumberFormat="0" applyBorder="0" applyAlignment="0" applyProtection="0"/>
    <xf numFmtId="0" fontId="32" fillId="18" borderId="1" applyNumberFormat="0" applyFont="0" applyAlignment="0" applyProtection="0">
      <alignment vertical="top"/>
    </xf>
    <xf numFmtId="169" fontId="33" fillId="19" borderId="1" applyNumberFormat="0" applyBorder="0" applyProtection="0">
      <alignment horizontal="center"/>
    </xf>
    <xf numFmtId="173" fontId="34" fillId="0" borderId="1" applyFont="0" applyFill="0" applyBorder="0" applyAlignment="0" applyProtection="0"/>
    <xf numFmtId="179" fontId="35" fillId="20" borderId="1">
      <alignment horizontal="center"/>
    </xf>
    <xf numFmtId="169" fontId="20" fillId="19" borderId="1" applyNumberFormat="0" applyFill="0" applyBorder="0" applyAlignment="0" applyProtection="0"/>
    <xf numFmtId="169" fontId="33" fillId="20" borderId="1">
      <alignment horizontal="center"/>
    </xf>
    <xf numFmtId="172" fontId="21" fillId="0" borderId="1" applyFont="0" applyFill="0" applyBorder="0" applyAlignment="0" applyProtection="0"/>
    <xf numFmtId="0" fontId="38" fillId="19" borderId="1" applyNumberFormat="0">
      <alignment horizontal="left"/>
    </xf>
    <xf numFmtId="0" fontId="39" fillId="20" borderId="1" applyNumberFormat="0" applyAlignment="0">
      <alignment horizontal="left"/>
    </xf>
    <xf numFmtId="0" fontId="40" fillId="0" borderId="1" applyNumberFormat="0" applyFill="0" applyBorder="0">
      <alignment horizontal="left" vertical="center"/>
    </xf>
    <xf numFmtId="0" fontId="41" fillId="0" borderId="0" applyNumberFormat="0" applyFill="0" applyBorder="0" applyAlignment="0" applyProtection="0"/>
    <xf numFmtId="0" fontId="42" fillId="0" borderId="22" applyNumberFormat="0" applyFill="0" applyAlignment="0" applyProtection="0"/>
    <xf numFmtId="0" fontId="43" fillId="0" borderId="23" applyNumberFormat="0" applyFill="0" applyAlignment="0" applyProtection="0"/>
    <xf numFmtId="0" fontId="44" fillId="0" borderId="24" applyNumberFormat="0" applyFill="0" applyAlignment="0" applyProtection="0"/>
    <xf numFmtId="0" fontId="44" fillId="0" borderId="0" applyNumberFormat="0" applyFill="0" applyBorder="0" applyAlignment="0" applyProtection="0"/>
    <xf numFmtId="0" fontId="45" fillId="0" borderId="25" applyNumberFormat="0" applyFill="0" applyAlignment="0" applyProtection="0"/>
    <xf numFmtId="0" fontId="46"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46"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46" fillId="28" borderId="0" applyNumberFormat="0" applyBorder="0" applyAlignment="0" applyProtection="0"/>
    <xf numFmtId="0" fontId="1" fillId="29" borderId="0" applyNumberFormat="0" applyBorder="0" applyAlignment="0" applyProtection="0"/>
    <xf numFmtId="0" fontId="1" fillId="30" borderId="0" applyNumberFormat="0" applyBorder="0" applyAlignment="0" applyProtection="0"/>
    <xf numFmtId="0" fontId="46" fillId="31"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46" fillId="34"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46" fillId="37" borderId="0" applyNumberFormat="0" applyBorder="0" applyAlignment="0" applyProtection="0"/>
    <xf numFmtId="0" fontId="1" fillId="38" borderId="0" applyNumberFormat="0" applyBorder="0" applyAlignment="0" applyProtection="0"/>
    <xf numFmtId="0" fontId="1" fillId="39" borderId="0" applyNumberFormat="0" applyBorder="0" applyAlignment="0" applyProtection="0"/>
    <xf numFmtId="0" fontId="1" fillId="40" borderId="0" applyNumberFormat="0" applyBorder="0" applyAlignment="0" applyProtection="0"/>
    <xf numFmtId="165" fontId="34" fillId="0" borderId="0" applyFont="0" applyFill="0" applyBorder="0" applyAlignment="0" applyProtection="0"/>
    <xf numFmtId="164" fontId="34" fillId="0" borderId="0" applyFont="0" applyFill="0" applyBorder="0" applyAlignment="0" applyProtection="0"/>
    <xf numFmtId="167" fontId="34" fillId="0" borderId="0" applyFont="0" applyFill="0" applyBorder="0" applyAlignment="0" applyProtection="0"/>
    <xf numFmtId="166" fontId="34" fillId="0" borderId="0" applyFont="0" applyFill="0" applyBorder="0" applyAlignment="0" applyProtection="0"/>
    <xf numFmtId="0" fontId="34" fillId="41" borderId="31" applyNumberFormat="0" applyFont="0" applyAlignment="0" applyProtection="0"/>
  </cellStyleXfs>
  <cellXfs count="256">
    <xf numFmtId="168" fontId="0" fillId="0" borderId="1" xfId="0"/>
    <xf numFmtId="172" fontId="3" fillId="18" borderId="1" xfId="0" applyNumberFormat="1" applyFont="1" applyFill="1"/>
    <xf numFmtId="168" fontId="0" fillId="0" borderId="1" xfId="0" quotePrefix="1"/>
    <xf numFmtId="168" fontId="12" fillId="0" borderId="1" xfId="0" applyFont="1"/>
    <xf numFmtId="0" fontId="3" fillId="0" borderId="1" xfId="0" applyNumberFormat="1" applyFont="1"/>
    <xf numFmtId="168" fontId="7" fillId="0" borderId="1" xfId="0" applyFont="1"/>
    <xf numFmtId="168" fontId="7" fillId="4" borderId="2" xfId="0" applyFont="1" applyFill="1" applyBorder="1" applyAlignment="1">
      <alignment vertical="top"/>
    </xf>
    <xf numFmtId="169" fontId="12" fillId="6" borderId="3" xfId="0" applyNumberFormat="1" applyFont="1" applyFill="1" applyBorder="1"/>
    <xf numFmtId="169" fontId="12" fillId="0" borderId="1" xfId="0" applyNumberFormat="1" applyFont="1" applyAlignment="1">
      <alignment vertical="top"/>
    </xf>
    <xf numFmtId="169" fontId="8" fillId="0" borderId="1" xfId="0" applyNumberFormat="1" applyFont="1" applyAlignment="1">
      <alignment horizontal="left" vertical="center"/>
    </xf>
    <xf numFmtId="168" fontId="8" fillId="0" borderId="1" xfId="0" applyFont="1" applyAlignment="1">
      <alignment horizontal="left" vertical="center"/>
    </xf>
    <xf numFmtId="171" fontId="12" fillId="0" borderId="1" xfId="0" applyNumberFormat="1" applyFont="1"/>
    <xf numFmtId="168" fontId="6" fillId="0" borderId="1" xfId="0" applyFont="1" applyAlignment="1">
      <alignment vertical="center"/>
    </xf>
    <xf numFmtId="168" fontId="11" fillId="0" borderId="1" xfId="0" applyFont="1"/>
    <xf numFmtId="168" fontId="12" fillId="6" borderId="3" xfId="0" applyFont="1" applyFill="1" applyBorder="1"/>
    <xf numFmtId="169" fontId="11" fillId="3" borderId="4" xfId="0" applyNumberFormat="1" applyFont="1" applyFill="1" applyBorder="1" applyAlignment="1">
      <alignment horizontal="left" vertical="center"/>
    </xf>
    <xf numFmtId="169" fontId="11" fillId="3" borderId="5" xfId="0" applyNumberFormat="1" applyFont="1" applyFill="1" applyBorder="1" applyAlignment="1">
      <alignment horizontal="left" vertical="center"/>
    </xf>
    <xf numFmtId="169" fontId="11" fillId="3" borderId="6" xfId="0" applyNumberFormat="1" applyFont="1" applyFill="1" applyBorder="1" applyAlignment="1">
      <alignment horizontal="left" vertical="center"/>
    </xf>
    <xf numFmtId="168" fontId="14" fillId="0" borderId="1" xfId="0" applyFont="1"/>
    <xf numFmtId="169" fontId="8" fillId="0" borderId="7" xfId="0" applyNumberFormat="1" applyFont="1" applyBorder="1" applyAlignment="1">
      <alignment horizontal="left" vertical="center"/>
    </xf>
    <xf numFmtId="11" fontId="12" fillId="6" borderId="8" xfId="0" applyNumberFormat="1" applyFont="1" applyFill="1" applyBorder="1" applyAlignment="1">
      <alignment horizontal="right"/>
    </xf>
    <xf numFmtId="168" fontId="8" fillId="0" borderId="7" xfId="0" applyFont="1" applyBorder="1" applyAlignment="1">
      <alignment horizontal="left" vertical="center"/>
    </xf>
    <xf numFmtId="171" fontId="12" fillId="6" borderId="10" xfId="0" applyNumberFormat="1" applyFont="1" applyFill="1" applyBorder="1"/>
    <xf numFmtId="173" fontId="12" fillId="6" borderId="10" xfId="0" applyNumberFormat="1" applyFont="1" applyFill="1" applyBorder="1"/>
    <xf numFmtId="173" fontId="12" fillId="0" borderId="14" xfId="0" applyNumberFormat="1" applyFont="1" applyBorder="1" applyAlignment="1">
      <alignment horizontal="right"/>
    </xf>
    <xf numFmtId="168" fontId="12" fillId="6" borderId="10" xfId="0" applyFont="1" applyFill="1" applyBorder="1" applyAlignment="1">
      <alignment horizontal="right"/>
    </xf>
    <xf numFmtId="168" fontId="12" fillId="0" borderId="9" xfId="0" applyFont="1" applyBorder="1"/>
    <xf numFmtId="174" fontId="12" fillId="6" borderId="10" xfId="0" applyNumberFormat="1" applyFont="1" applyFill="1" applyBorder="1"/>
    <xf numFmtId="169" fontId="8" fillId="0" borderId="11" xfId="0" applyNumberFormat="1" applyFont="1" applyBorder="1" applyAlignment="1">
      <alignment horizontal="left" vertical="center"/>
    </xf>
    <xf numFmtId="169" fontId="11" fillId="3" borderId="5" xfId="0" applyNumberFormat="1" applyFont="1" applyFill="1" applyBorder="1" applyAlignment="1">
      <alignment vertical="top"/>
    </xf>
    <xf numFmtId="168" fontId="11" fillId="3" borderId="5" xfId="0" applyFont="1" applyFill="1" applyBorder="1"/>
    <xf numFmtId="168" fontId="11" fillId="0" borderId="1" xfId="0" applyFont="1" applyAlignment="1">
      <alignment horizontal="left" vertical="center"/>
    </xf>
    <xf numFmtId="168" fontId="12" fillId="6" borderId="15" xfId="0" applyFont="1" applyFill="1" applyBorder="1"/>
    <xf numFmtId="174" fontId="12" fillId="6" borderId="3" xfId="0" applyNumberFormat="1" applyFont="1" applyFill="1" applyBorder="1"/>
    <xf numFmtId="173" fontId="12" fillId="6" borderId="3" xfId="0" applyNumberFormat="1" applyFont="1" applyFill="1" applyBorder="1"/>
    <xf numFmtId="168" fontId="11" fillId="3" borderId="6" xfId="0" applyFont="1" applyFill="1" applyBorder="1"/>
    <xf numFmtId="170" fontId="12" fillId="6" borderId="3" xfId="0" applyNumberFormat="1" applyFont="1" applyFill="1" applyBorder="1"/>
    <xf numFmtId="168" fontId="12" fillId="0" borderId="9" xfId="0" applyFont="1" applyBorder="1" applyAlignment="1">
      <alignment horizontal="right"/>
    </xf>
    <xf numFmtId="168" fontId="15" fillId="0" borderId="1" xfId="0" applyFont="1"/>
    <xf numFmtId="168" fontId="12" fillId="0" borderId="13" xfId="0" applyFont="1" applyBorder="1" applyAlignment="1">
      <alignment horizontal="right"/>
    </xf>
    <xf numFmtId="168" fontId="16" fillId="0" borderId="1" xfId="0" applyFont="1"/>
    <xf numFmtId="168" fontId="12" fillId="0" borderId="1" xfId="0" applyFont="1" applyAlignment="1">
      <alignment horizontal="right"/>
    </xf>
    <xf numFmtId="168" fontId="12" fillId="6" borderId="3" xfId="0" applyFont="1" applyFill="1" applyBorder="1" applyAlignment="1">
      <alignment horizontal="right"/>
    </xf>
    <xf numFmtId="168" fontId="3" fillId="0" borderId="1" xfId="0" applyFont="1"/>
    <xf numFmtId="171" fontId="12" fillId="6" borderId="3" xfId="0" applyNumberFormat="1" applyFont="1" applyFill="1" applyBorder="1"/>
    <xf numFmtId="172" fontId="12" fillId="6" borderId="3" xfId="0" applyNumberFormat="1" applyFont="1" applyFill="1" applyBorder="1"/>
    <xf numFmtId="172" fontId="12" fillId="0" borderId="1" xfId="0" applyNumberFormat="1" applyFont="1"/>
    <xf numFmtId="173" fontId="12" fillId="0" borderId="1" xfId="0" applyNumberFormat="1" applyFont="1"/>
    <xf numFmtId="176" fontId="12" fillId="0" borderId="3" xfId="0" applyNumberFormat="1" applyFont="1" applyBorder="1"/>
    <xf numFmtId="175" fontId="12" fillId="0" borderId="1" xfId="0" applyNumberFormat="1" applyFont="1" applyAlignment="1">
      <alignment horizontal="right"/>
    </xf>
    <xf numFmtId="177" fontId="12" fillId="6" borderId="3" xfId="0" applyNumberFormat="1" applyFont="1" applyFill="1" applyBorder="1"/>
    <xf numFmtId="168" fontId="21" fillId="0" borderId="1" xfId="0" applyFont="1"/>
    <xf numFmtId="168" fontId="22" fillId="0" borderId="1" xfId="0" applyFont="1"/>
    <xf numFmtId="168" fontId="20" fillId="6" borderId="3" xfId="0" applyFont="1" applyFill="1" applyBorder="1"/>
    <xf numFmtId="174" fontId="12" fillId="6" borderId="17" xfId="0" applyNumberFormat="1" applyFont="1" applyFill="1" applyBorder="1"/>
    <xf numFmtId="168" fontId="20" fillId="0" borderId="1" xfId="23" applyNumberFormat="1" applyFill="1"/>
    <xf numFmtId="168" fontId="20" fillId="21" borderId="3" xfId="7" applyNumberFormat="1">
      <protection locked="0"/>
    </xf>
    <xf numFmtId="177" fontId="20" fillId="21" borderId="3" xfId="7" applyNumberFormat="1">
      <protection locked="0"/>
    </xf>
    <xf numFmtId="168" fontId="47" fillId="0" borderId="1" xfId="0" applyFont="1"/>
    <xf numFmtId="172" fontId="20" fillId="21" borderId="3" xfId="7" applyNumberFormat="1">
      <protection locked="0"/>
    </xf>
    <xf numFmtId="171" fontId="20" fillId="0" borderId="1" xfId="23" applyNumberFormat="1" applyFill="1"/>
    <xf numFmtId="168" fontId="48" fillId="0" borderId="1" xfId="0" applyFont="1"/>
    <xf numFmtId="168" fontId="3" fillId="0" borderId="1" xfId="0" applyFont="1" applyAlignment="1">
      <alignment horizontal="right"/>
    </xf>
    <xf numFmtId="171" fontId="0" fillId="0" borderId="1" xfId="3" applyFont="1" applyFill="1"/>
    <xf numFmtId="172" fontId="0" fillId="0" borderId="1" xfId="25" applyFont="1"/>
    <xf numFmtId="171" fontId="20" fillId="21" borderId="3" xfId="7" applyNumberFormat="1">
      <protection locked="0"/>
    </xf>
    <xf numFmtId="168" fontId="11" fillId="3" borderId="28" xfId="0" applyFont="1" applyFill="1" applyBorder="1"/>
    <xf numFmtId="168" fontId="16" fillId="0" borderId="29" xfId="0" applyFont="1" applyBorder="1"/>
    <xf numFmtId="169" fontId="4" fillId="2" borderId="1" xfId="0" applyNumberFormat="1" applyFont="1" applyFill="1" applyAlignment="1">
      <alignment horizontal="left"/>
    </xf>
    <xf numFmtId="169" fontId="17" fillId="3" borderId="1" xfId="0" applyNumberFormat="1" applyFont="1" applyFill="1" applyAlignment="1">
      <alignment horizontal="center"/>
    </xf>
    <xf numFmtId="168" fontId="20" fillId="21" borderId="30" xfId="7" applyNumberFormat="1" applyBorder="1">
      <protection locked="0"/>
    </xf>
    <xf numFmtId="174" fontId="20" fillId="0" borderId="1" xfId="23" applyNumberFormat="1" applyFill="1" applyAlignment="1">
      <alignment horizontal="right"/>
    </xf>
    <xf numFmtId="168" fontId="4" fillId="2" borderId="1" xfId="0" applyFont="1" applyFill="1" applyAlignment="1">
      <alignment horizontal="left"/>
    </xf>
    <xf numFmtId="168" fontId="40" fillId="0" borderId="1" xfId="28" applyNumberFormat="1">
      <alignment horizontal="left" vertical="center"/>
    </xf>
    <xf numFmtId="174" fontId="0" fillId="0" borderId="1" xfId="0" applyNumberFormat="1"/>
    <xf numFmtId="168" fontId="40" fillId="0" borderId="1" xfId="28" applyNumberFormat="1" applyFill="1">
      <alignment horizontal="left" vertical="center"/>
    </xf>
    <xf numFmtId="171" fontId="12" fillId="6" borderId="1" xfId="0" applyNumberFormat="1" applyFont="1" applyFill="1"/>
    <xf numFmtId="169" fontId="13" fillId="3" borderId="1" xfId="0" applyNumberFormat="1" applyFont="1" applyFill="1" applyAlignment="1">
      <alignment horizontal="center"/>
    </xf>
    <xf numFmtId="169" fontId="40" fillId="0" borderId="1" xfId="28" applyNumberFormat="1">
      <alignment horizontal="left" vertical="center"/>
    </xf>
    <xf numFmtId="168" fontId="0" fillId="0" borderId="1" xfId="0" applyAlignment="1">
      <alignment horizontal="right"/>
    </xf>
    <xf numFmtId="172" fontId="0" fillId="0" borderId="1" xfId="25" applyFont="1" applyAlignment="1"/>
    <xf numFmtId="0" fontId="0" fillId="0" borderId="1" xfId="0" applyNumberFormat="1" applyAlignment="1">
      <alignment wrapText="1"/>
    </xf>
    <xf numFmtId="171" fontId="0" fillId="0" borderId="1" xfId="3" applyFont="1" applyFill="1" applyAlignment="1">
      <alignment horizontal="right"/>
    </xf>
    <xf numFmtId="172" fontId="0" fillId="0" borderId="1" xfId="25" applyFont="1" applyFill="1"/>
    <xf numFmtId="168" fontId="0" fillId="0" borderId="1" xfId="0" applyAlignment="1">
      <alignment wrapText="1"/>
    </xf>
    <xf numFmtId="168" fontId="3" fillId="0" borderId="12" xfId="0" applyFont="1" applyBorder="1"/>
    <xf numFmtId="169" fontId="7" fillId="4" borderId="1" xfId="0" applyNumberFormat="1" applyFont="1" applyFill="1"/>
    <xf numFmtId="168" fontId="7" fillId="5" borderId="1" xfId="0" applyFont="1" applyFill="1"/>
    <xf numFmtId="168" fontId="8" fillId="4" borderId="1" xfId="0" applyFont="1" applyFill="1" applyAlignment="1">
      <alignment vertical="center"/>
    </xf>
    <xf numFmtId="168" fontId="6" fillId="2" borderId="1" xfId="0" applyFont="1" applyFill="1" applyAlignment="1">
      <alignment vertical="center"/>
    </xf>
    <xf numFmtId="168" fontId="3" fillId="0" borderId="7" xfId="0" applyFont="1" applyBorder="1"/>
    <xf numFmtId="168" fontId="3" fillId="0" borderId="9" xfId="0" applyFont="1" applyBorder="1"/>
    <xf numFmtId="168" fontId="3" fillId="0" borderId="7" xfId="0" quotePrefix="1" applyFont="1" applyBorder="1"/>
    <xf numFmtId="173" fontId="3" fillId="0" borderId="9" xfId="0" applyNumberFormat="1" applyFont="1" applyBorder="1"/>
    <xf numFmtId="168" fontId="3" fillId="0" borderId="9" xfId="0" applyFont="1" applyBorder="1" applyAlignment="1">
      <alignment horizontal="right"/>
    </xf>
    <xf numFmtId="168" fontId="3" fillId="0" borderId="11" xfId="0" quotePrefix="1" applyFont="1" applyBorder="1"/>
    <xf numFmtId="168" fontId="3" fillId="0" borderId="13" xfId="0" applyFont="1" applyBorder="1"/>
    <xf numFmtId="173" fontId="3" fillId="0" borderId="1" xfId="0" applyNumberFormat="1" applyFont="1" applyAlignment="1">
      <alignment horizontal="right"/>
    </xf>
    <xf numFmtId="173" fontId="3" fillId="0" borderId="9" xfId="0" applyNumberFormat="1" applyFont="1" applyBorder="1" applyAlignment="1">
      <alignment horizontal="right"/>
    </xf>
    <xf numFmtId="168" fontId="3" fillId="0" borderId="11" xfId="0" applyFont="1" applyBorder="1"/>
    <xf numFmtId="174" fontId="3" fillId="0" borderId="12" xfId="0" applyNumberFormat="1" applyFont="1" applyBorder="1" applyAlignment="1">
      <alignment horizontal="right"/>
    </xf>
    <xf numFmtId="174" fontId="3" fillId="0" borderId="13" xfId="0" applyNumberFormat="1" applyFont="1" applyBorder="1" applyAlignment="1">
      <alignment horizontal="right"/>
    </xf>
    <xf numFmtId="172" fontId="3" fillId="0" borderId="1" xfId="0" applyNumberFormat="1" applyFont="1" applyAlignment="1">
      <alignment horizontal="right"/>
    </xf>
    <xf numFmtId="172" fontId="3" fillId="0" borderId="9" xfId="0" applyNumberFormat="1" applyFont="1" applyBorder="1" applyAlignment="1">
      <alignment horizontal="right"/>
    </xf>
    <xf numFmtId="171" fontId="3" fillId="0" borderId="9" xfId="0" applyNumberFormat="1" applyFont="1" applyBorder="1" applyAlignment="1">
      <alignment horizontal="right"/>
    </xf>
    <xf numFmtId="171" fontId="3" fillId="0" borderId="13" xfId="0" applyNumberFormat="1" applyFont="1" applyBorder="1"/>
    <xf numFmtId="172" fontId="3" fillId="0" borderId="12" xfId="0" applyNumberFormat="1" applyFont="1" applyBorder="1" applyAlignment="1">
      <alignment horizontal="right"/>
    </xf>
    <xf numFmtId="168" fontId="3" fillId="0" borderId="1" xfId="0" applyFont="1" applyAlignment="1">
      <alignment horizontal="left" wrapText="1"/>
    </xf>
    <xf numFmtId="168" fontId="3" fillId="0" borderId="1" xfId="0" applyFont="1" applyAlignment="1">
      <alignment horizontal="right" wrapText="1"/>
    </xf>
    <xf numFmtId="173" fontId="3" fillId="0" borderId="1" xfId="0" applyNumberFormat="1" applyFont="1"/>
    <xf numFmtId="168" fontId="3" fillId="0" borderId="12" xfId="0" applyFont="1" applyBorder="1" applyAlignment="1">
      <alignment horizontal="right"/>
    </xf>
    <xf numFmtId="168" fontId="3" fillId="0" borderId="26" xfId="0" applyFont="1" applyBorder="1"/>
    <xf numFmtId="173" fontId="3" fillId="0" borderId="1" xfId="21" applyFont="1" applyBorder="1"/>
    <xf numFmtId="173" fontId="3" fillId="0" borderId="26" xfId="21" applyFont="1" applyBorder="1"/>
    <xf numFmtId="172" fontId="3" fillId="0" borderId="1" xfId="25" applyFont="1" applyBorder="1"/>
    <xf numFmtId="168" fontId="3" fillId="0" borderId="29" xfId="0" applyFont="1" applyBorder="1"/>
    <xf numFmtId="168" fontId="3" fillId="0" borderId="27" xfId="0" applyFont="1" applyBorder="1"/>
    <xf numFmtId="171" fontId="3" fillId="0" borderId="1" xfId="0" applyNumberFormat="1" applyFont="1"/>
    <xf numFmtId="169" fontId="13" fillId="3" borderId="1" xfId="0" applyNumberFormat="1" applyFont="1" applyFill="1" applyAlignment="1">
      <alignment horizontal="left"/>
    </xf>
    <xf numFmtId="169" fontId="17" fillId="3" borderId="16" xfId="0" applyNumberFormat="1" applyFont="1" applyFill="1" applyBorder="1" applyAlignment="1">
      <alignment horizontal="center"/>
    </xf>
    <xf numFmtId="172" fontId="3" fillId="0" borderId="1" xfId="0" applyNumberFormat="1" applyFont="1"/>
    <xf numFmtId="168" fontId="3" fillId="0" borderId="1" xfId="0" applyFont="1" applyAlignment="1">
      <alignment horizontal="center"/>
    </xf>
    <xf numFmtId="171" fontId="13" fillId="3" borderId="1" xfId="0" applyNumberFormat="1" applyFont="1" applyFill="1" applyAlignment="1">
      <alignment horizontal="center"/>
    </xf>
    <xf numFmtId="172" fontId="13" fillId="3" borderId="1" xfId="0" applyNumberFormat="1" applyFont="1" applyFill="1" applyAlignment="1">
      <alignment horizontal="center"/>
    </xf>
    <xf numFmtId="178" fontId="3" fillId="0" borderId="1" xfId="0" applyNumberFormat="1" applyFont="1" applyAlignment="1">
      <alignment horizontal="right"/>
    </xf>
    <xf numFmtId="49" fontId="3" fillId="0" borderId="1" xfId="0" applyNumberFormat="1" applyFont="1"/>
    <xf numFmtId="49" fontId="3" fillId="0" borderId="1" xfId="0" applyNumberFormat="1" applyFont="1" applyAlignment="1">
      <alignment horizontal="left"/>
    </xf>
    <xf numFmtId="171" fontId="3" fillId="0" borderId="1" xfId="0" applyNumberFormat="1" applyFont="1" applyAlignment="1">
      <alignment horizontal="right"/>
    </xf>
    <xf numFmtId="0" fontId="3" fillId="0" borderId="1" xfId="0" applyNumberFormat="1" applyFont="1" applyAlignment="1">
      <alignment wrapText="1"/>
    </xf>
    <xf numFmtId="169" fontId="13" fillId="3" borderId="1" xfId="0" applyNumberFormat="1" applyFont="1" applyFill="1" applyAlignment="1">
      <alignment horizontal="right"/>
    </xf>
    <xf numFmtId="172" fontId="3" fillId="0" borderId="1" xfId="25" applyFont="1"/>
    <xf numFmtId="169" fontId="11" fillId="3" borderId="1" xfId="0" applyNumberFormat="1" applyFont="1" applyFill="1" applyAlignment="1">
      <alignment horizontal="left" vertical="center"/>
    </xf>
    <xf numFmtId="170" fontId="12" fillId="6" borderId="1" xfId="0" applyNumberFormat="1" applyFont="1" applyFill="1"/>
    <xf numFmtId="168" fontId="3" fillId="7" borderId="1" xfId="0" applyFont="1" applyFill="1"/>
    <xf numFmtId="168" fontId="12" fillId="7" borderId="1" xfId="0" applyFont="1" applyFill="1"/>
    <xf numFmtId="168" fontId="3" fillId="6" borderId="1" xfId="0" applyFont="1" applyFill="1"/>
    <xf numFmtId="168" fontId="12" fillId="6" borderId="1" xfId="0" applyFont="1" applyFill="1"/>
    <xf numFmtId="169" fontId="3" fillId="0" borderId="1" xfId="0" applyNumberFormat="1" applyFont="1" applyAlignment="1">
      <alignment horizontal="right"/>
    </xf>
    <xf numFmtId="168" fontId="3" fillId="0" borderId="1" xfId="0" applyFont="1" applyAlignment="1">
      <alignment horizontal="right" vertical="top" wrapText="1"/>
    </xf>
    <xf numFmtId="170" fontId="3" fillId="0" borderId="1" xfId="0" applyNumberFormat="1" applyFont="1"/>
    <xf numFmtId="173" fontId="12" fillId="7" borderId="1" xfId="0" applyNumberFormat="1" applyFont="1" applyFill="1"/>
    <xf numFmtId="0" fontId="0" fillId="0" borderId="1" xfId="0" applyNumberFormat="1"/>
    <xf numFmtId="169" fontId="40" fillId="0" borderId="1" xfId="28" applyNumberFormat="1" applyFill="1">
      <alignment horizontal="left" vertical="center"/>
    </xf>
    <xf numFmtId="174" fontId="12" fillId="0" borderId="1" xfId="0" applyNumberFormat="1" applyFont="1"/>
    <xf numFmtId="172" fontId="12" fillId="0" borderId="1" xfId="25" applyFont="1" applyFill="1"/>
    <xf numFmtId="172" fontId="0" fillId="0" borderId="1" xfId="25" applyFont="1" applyFill="1" applyAlignment="1">
      <alignment horizontal="right"/>
    </xf>
    <xf numFmtId="171" fontId="20" fillId="21" borderId="17" xfId="7" applyNumberFormat="1" applyBorder="1">
      <protection locked="0"/>
    </xf>
    <xf numFmtId="168" fontId="0" fillId="0" borderId="1" xfId="0" applyAlignment="1">
      <alignment horizontal="left" indent="1"/>
    </xf>
    <xf numFmtId="177" fontId="12" fillId="0" borderId="1" xfId="0" applyNumberFormat="1" applyFont="1"/>
    <xf numFmtId="171" fontId="49" fillId="0" borderId="1" xfId="3" applyFont="1" applyFill="1"/>
    <xf numFmtId="171" fontId="0" fillId="0" borderId="1" xfId="3" quotePrefix="1" applyFont="1" applyFill="1"/>
    <xf numFmtId="174" fontId="12" fillId="0" borderId="12" xfId="0" applyNumberFormat="1" applyFont="1" applyBorder="1"/>
    <xf numFmtId="168" fontId="3" fillId="0" borderId="32" xfId="0" applyFont="1" applyBorder="1"/>
    <xf numFmtId="172" fontId="12" fillId="0" borderId="1" xfId="25" applyFont="1"/>
    <xf numFmtId="49" fontId="0" fillId="0" borderId="1" xfId="0" applyNumberFormat="1"/>
    <xf numFmtId="0" fontId="0" fillId="0" borderId="1" xfId="0" applyNumberFormat="1" applyAlignment="1">
      <alignment horizontal="left" vertical="distributed" wrapText="1"/>
    </xf>
    <xf numFmtId="181" fontId="14" fillId="0" borderId="1" xfId="0" applyNumberFormat="1" applyFont="1"/>
    <xf numFmtId="168" fontId="0" fillId="18" borderId="1" xfId="0" applyFill="1"/>
    <xf numFmtId="169" fontId="33" fillId="20" borderId="1" xfId="24">
      <alignment horizontal="center"/>
    </xf>
    <xf numFmtId="0" fontId="50" fillId="0" borderId="1" xfId="0" applyNumberFormat="1" applyFont="1" applyAlignment="1">
      <alignment horizontal="right"/>
    </xf>
    <xf numFmtId="173" fontId="51" fillId="0" borderId="1" xfId="0" applyNumberFormat="1" applyFont="1"/>
    <xf numFmtId="168" fontId="51" fillId="0" borderId="1" xfId="0" applyFont="1"/>
    <xf numFmtId="171" fontId="48" fillId="0" borderId="1" xfId="3" applyFont="1" applyFill="1"/>
    <xf numFmtId="172" fontId="48" fillId="0" borderId="1" xfId="25" applyFont="1"/>
    <xf numFmtId="172" fontId="51" fillId="0" borderId="1" xfId="0" applyNumberFormat="1" applyFont="1"/>
    <xf numFmtId="168" fontId="48" fillId="0" borderId="1" xfId="0" applyFont="1" applyAlignment="1">
      <alignment wrapText="1"/>
    </xf>
    <xf numFmtId="0" fontId="48" fillId="0" borderId="1" xfId="0" applyNumberFormat="1" applyFont="1" applyAlignment="1">
      <alignment wrapText="1"/>
    </xf>
    <xf numFmtId="168" fontId="52" fillId="0" borderId="1" xfId="0" applyFont="1"/>
    <xf numFmtId="168" fontId="53" fillId="0" borderId="1" xfId="23" applyNumberFormat="1" applyFont="1" applyFill="1"/>
    <xf numFmtId="168" fontId="48" fillId="0" borderId="1" xfId="0" applyFont="1" applyAlignment="1">
      <alignment horizontal="right"/>
    </xf>
    <xf numFmtId="173" fontId="50" fillId="0" borderId="1" xfId="0" applyNumberFormat="1" applyFont="1"/>
    <xf numFmtId="172" fontId="0" fillId="0" borderId="1" xfId="0" applyNumberFormat="1"/>
    <xf numFmtId="171" fontId="3" fillId="0" borderId="1" xfId="3" applyFont="1" applyFill="1"/>
    <xf numFmtId="168" fontId="54" fillId="42" borderId="33" xfId="0" applyFont="1" applyFill="1" applyBorder="1" applyAlignment="1">
      <alignment vertical="center" wrapText="1"/>
    </xf>
    <xf numFmtId="168" fontId="54" fillId="42" borderId="33" xfId="0" applyFont="1" applyFill="1" applyBorder="1" applyAlignment="1">
      <alignment horizontal="right" vertical="center" wrapText="1"/>
    </xf>
    <xf numFmtId="168" fontId="55" fillId="42" borderId="33" xfId="0" applyFont="1" applyFill="1" applyBorder="1" applyAlignment="1">
      <alignment horizontal="right" vertical="center" wrapText="1"/>
    </xf>
    <xf numFmtId="171" fontId="54" fillId="42" borderId="33" xfId="3" applyFont="1" applyFill="1" applyBorder="1" applyAlignment="1">
      <alignment horizontal="right" vertical="center" wrapText="1"/>
    </xf>
    <xf numFmtId="171" fontId="0" fillId="0" borderId="1" xfId="3" applyFont="1" applyFill="1" applyBorder="1"/>
    <xf numFmtId="15" fontId="12" fillId="6" borderId="3" xfId="0" applyNumberFormat="1" applyFont="1" applyFill="1" applyBorder="1"/>
    <xf numFmtId="168" fontId="20" fillId="0" borderId="1" xfId="23" applyNumberFormat="1" applyFill="1" applyAlignment="1">
      <alignment horizontal="right"/>
    </xf>
    <xf numFmtId="168" fontId="6" fillId="2" borderId="1" xfId="0" applyFont="1" applyFill="1" applyAlignment="1">
      <alignment horizontal="left"/>
    </xf>
    <xf numFmtId="169" fontId="9" fillId="43" borderId="34" xfId="0" applyNumberFormat="1" applyFont="1" applyFill="1" applyBorder="1" applyAlignment="1">
      <alignment vertical="center" wrapText="1"/>
    </xf>
    <xf numFmtId="168" fontId="0" fillId="42" borderId="1" xfId="0" applyFill="1" applyAlignment="1">
      <alignment vertical="center"/>
    </xf>
    <xf numFmtId="168" fontId="0" fillId="0" borderId="1" xfId="0" applyAlignment="1">
      <alignment vertical="center"/>
    </xf>
    <xf numFmtId="168" fontId="62" fillId="43" borderId="34" xfId="0" applyFont="1" applyFill="1" applyBorder="1" applyAlignment="1">
      <alignment horizontal="left" vertical="center"/>
    </xf>
    <xf numFmtId="168" fontId="0" fillId="43" borderId="34" xfId="0" applyFill="1" applyBorder="1" applyAlignment="1">
      <alignment vertical="center"/>
    </xf>
    <xf numFmtId="168" fontId="63" fillId="42" borderId="1" xfId="0" applyFont="1" applyFill="1" applyAlignment="1">
      <alignment horizontal="center" vertical="center"/>
    </xf>
    <xf numFmtId="168" fontId="63" fillId="42" borderId="1" xfId="0" applyFont="1" applyFill="1" applyAlignment="1">
      <alignment vertical="center"/>
    </xf>
    <xf numFmtId="168" fontId="7" fillId="42" borderId="1" xfId="0" applyFont="1" applyFill="1" applyAlignment="1">
      <alignment vertical="center"/>
    </xf>
    <xf numFmtId="168" fontId="10" fillId="42" borderId="1" xfId="0" applyFont="1" applyFill="1" applyAlignment="1">
      <alignment vertical="center"/>
    </xf>
    <xf numFmtId="168" fontId="64" fillId="43" borderId="1" xfId="0" applyFont="1" applyFill="1" applyAlignment="1">
      <alignment horizontal="center" vertical="center"/>
    </xf>
    <xf numFmtId="168" fontId="65" fillId="43" borderId="1" xfId="0" applyFont="1" applyFill="1" applyAlignment="1">
      <alignment vertical="center"/>
    </xf>
    <xf numFmtId="168" fontId="0" fillId="43" borderId="1" xfId="0" applyFill="1" applyAlignment="1">
      <alignment vertical="center"/>
    </xf>
    <xf numFmtId="168" fontId="7" fillId="43" borderId="1" xfId="0" applyFont="1" applyFill="1" applyAlignment="1">
      <alignment vertical="center"/>
    </xf>
    <xf numFmtId="168" fontId="10" fillId="43" borderId="1" xfId="0" applyFont="1" applyFill="1" applyAlignment="1">
      <alignment vertical="center"/>
    </xf>
    <xf numFmtId="168" fontId="64" fillId="42" borderId="1" xfId="0" applyFont="1" applyFill="1" applyAlignment="1">
      <alignment horizontal="center" vertical="center"/>
    </xf>
    <xf numFmtId="168" fontId="65" fillId="42" borderId="1" xfId="0" applyFont="1" applyFill="1" applyAlignment="1">
      <alignment vertical="center"/>
    </xf>
    <xf numFmtId="168" fontId="67" fillId="43" borderId="1" xfId="0" applyFont="1" applyFill="1" applyAlignment="1">
      <alignment horizontal="center" vertical="center"/>
    </xf>
    <xf numFmtId="168" fontId="68" fillId="43" borderId="1" xfId="0" applyFont="1" applyFill="1" applyAlignment="1">
      <alignment vertical="center"/>
    </xf>
    <xf numFmtId="168" fontId="62" fillId="43" borderId="1" xfId="0" applyFont="1" applyFill="1" applyAlignment="1">
      <alignment horizontal="left" vertical="center"/>
    </xf>
    <xf numFmtId="168" fontId="69" fillId="21" borderId="3" xfId="0" applyFont="1" applyFill="1" applyBorder="1" applyAlignment="1">
      <alignment horizontal="center" vertical="center"/>
    </xf>
    <xf numFmtId="168" fontId="69" fillId="42" borderId="1" xfId="0" applyFont="1" applyFill="1" applyAlignment="1">
      <alignment horizontal="center" vertical="center"/>
    </xf>
    <xf numFmtId="168" fontId="64" fillId="42" borderId="36" xfId="0" applyFont="1" applyFill="1" applyBorder="1" applyAlignment="1">
      <alignment horizontal="center" vertical="center"/>
    </xf>
    <xf numFmtId="168" fontId="65" fillId="42" borderId="36" xfId="0" applyFont="1" applyFill="1" applyBorder="1" applyAlignment="1">
      <alignment vertical="center"/>
    </xf>
    <xf numFmtId="168" fontId="0" fillId="42" borderId="36" xfId="0" applyFill="1" applyBorder="1" applyAlignment="1">
      <alignment vertical="center"/>
    </xf>
    <xf numFmtId="168" fontId="70" fillId="42" borderId="1" xfId="0" applyFont="1" applyFill="1" applyAlignment="1">
      <alignment horizontal="center" vertical="center"/>
    </xf>
    <xf numFmtId="168" fontId="71" fillId="43" borderId="1" xfId="0" applyFont="1" applyFill="1" applyAlignment="1">
      <alignment horizontal="center" vertical="center"/>
    </xf>
    <xf numFmtId="168" fontId="64" fillId="44" borderId="36" xfId="0" applyFont="1" applyFill="1" applyBorder="1" applyAlignment="1">
      <alignment horizontal="center" vertical="center"/>
    </xf>
    <xf numFmtId="168" fontId="66" fillId="42" borderId="1" xfId="0" applyFont="1" applyFill="1" applyAlignment="1">
      <alignment vertical="center"/>
    </xf>
    <xf numFmtId="168" fontId="68" fillId="43" borderId="1" xfId="0" applyFont="1" applyFill="1" applyAlignment="1">
      <alignment vertical="center"/>
    </xf>
    <xf numFmtId="168" fontId="66" fillId="43" borderId="1" xfId="0" applyFont="1" applyFill="1" applyAlignment="1">
      <alignment vertical="center"/>
    </xf>
    <xf numFmtId="169" fontId="56" fillId="19" borderId="1" xfId="0" applyNumberFormat="1" applyFont="1" applyFill="1" applyAlignment="1">
      <alignment horizontal="left" vertical="center"/>
    </xf>
    <xf numFmtId="168" fontId="57" fillId="19" borderId="1" xfId="0" applyFont="1" applyFill="1" applyAlignment="1">
      <alignment horizontal="left" vertical="center"/>
    </xf>
    <xf numFmtId="168" fontId="12" fillId="21" borderId="1" xfId="0" applyFont="1" applyFill="1" applyAlignment="1">
      <alignment horizontal="left" vertical="center"/>
    </xf>
    <xf numFmtId="0" fontId="61" fillId="43" borderId="1" xfId="0" applyNumberFormat="1" applyFont="1" applyFill="1" applyAlignment="1">
      <alignment vertical="center"/>
    </xf>
    <xf numFmtId="0" fontId="5" fillId="43" borderId="1" xfId="0" applyNumberFormat="1" applyFont="1" applyFill="1" applyAlignment="1">
      <alignment vertical="center"/>
    </xf>
    <xf numFmtId="168" fontId="66" fillId="42" borderId="36" xfId="0" applyFont="1" applyFill="1" applyBorder="1" applyAlignment="1">
      <alignment vertical="center"/>
    </xf>
    <xf numFmtId="168" fontId="66" fillId="42" borderId="35" xfId="0" applyFont="1" applyFill="1" applyBorder="1" applyAlignment="1">
      <alignment vertical="center"/>
    </xf>
    <xf numFmtId="168" fontId="59" fillId="43" borderId="1" xfId="0" applyFont="1" applyFill="1" applyAlignment="1">
      <alignment vertical="center"/>
    </xf>
    <xf numFmtId="168" fontId="59" fillId="42" borderId="1" xfId="0" applyFont="1" applyFill="1" applyAlignment="1">
      <alignment vertical="center"/>
    </xf>
    <xf numFmtId="168" fontId="58" fillId="43" borderId="34" xfId="0" applyFont="1" applyFill="1" applyBorder="1" applyAlignment="1">
      <alignment horizontal="left" vertical="center"/>
    </xf>
    <xf numFmtId="0" fontId="5" fillId="43" borderId="34" xfId="0" applyNumberFormat="1" applyFont="1" applyFill="1" applyBorder="1" applyAlignment="1">
      <alignment vertical="center"/>
    </xf>
    <xf numFmtId="168" fontId="60" fillId="42" borderId="35" xfId="0" applyFont="1" applyFill="1" applyBorder="1" applyAlignment="1">
      <alignment vertical="center"/>
    </xf>
    <xf numFmtId="182" fontId="59" fillId="43" borderId="1" xfId="0" applyNumberFormat="1" applyFont="1" applyFill="1" applyAlignment="1">
      <alignment horizontal="left" vertical="center"/>
    </xf>
    <xf numFmtId="169" fontId="17" fillId="3" borderId="16" xfId="0" applyNumberFormat="1" applyFont="1" applyFill="1" applyBorder="1" applyAlignment="1">
      <alignment horizontal="center"/>
    </xf>
    <xf numFmtId="0" fontId="5" fillId="0" borderId="16" xfId="0" applyNumberFormat="1" applyFont="1" applyBorder="1"/>
    <xf numFmtId="0" fontId="0" fillId="0" borderId="1" xfId="0" applyNumberFormat="1" applyAlignment="1">
      <alignment wrapText="1"/>
    </xf>
    <xf numFmtId="171" fontId="22" fillId="0" borderId="1" xfId="3" applyFont="1" applyFill="1"/>
    <xf numFmtId="181" fontId="22" fillId="0" borderId="1" xfId="0" applyNumberFormat="1" applyFont="1"/>
    <xf numFmtId="168" fontId="22" fillId="0" borderId="1" xfId="23" applyNumberFormat="1" applyFont="1" applyFill="1"/>
    <xf numFmtId="168" fontId="72" fillId="43" borderId="1" xfId="0" applyFont="1" applyFill="1"/>
    <xf numFmtId="172" fontId="72" fillId="43" borderId="1" xfId="25" applyFont="1" applyFill="1"/>
    <xf numFmtId="174" fontId="72" fillId="43" borderId="1" xfId="0" applyNumberFormat="1" applyFont="1" applyFill="1"/>
    <xf numFmtId="168" fontId="72" fillId="43" borderId="1" xfId="0" applyFont="1" applyFill="1" applyAlignment="1">
      <alignment horizontal="right"/>
    </xf>
    <xf numFmtId="171" fontId="72" fillId="43" borderId="1" xfId="3" applyFont="1" applyFill="1"/>
    <xf numFmtId="177" fontId="73" fillId="0" borderId="1" xfId="0" applyNumberFormat="1" applyFont="1"/>
    <xf numFmtId="168" fontId="74" fillId="43" borderId="1" xfId="0" applyFont="1" applyFill="1"/>
    <xf numFmtId="171" fontId="74" fillId="43" borderId="1" xfId="0" applyNumberFormat="1" applyFont="1" applyFill="1"/>
    <xf numFmtId="171" fontId="22" fillId="42" borderId="1" xfId="3" applyFont="1" applyFill="1"/>
    <xf numFmtId="177" fontId="74" fillId="43" borderId="1" xfId="0" applyNumberFormat="1" applyFont="1" applyFill="1"/>
    <xf numFmtId="172" fontId="22" fillId="0" borderId="1" xfId="25" applyFont="1"/>
    <xf numFmtId="172" fontId="22" fillId="0" borderId="1" xfId="25" applyFont="1" applyFill="1"/>
    <xf numFmtId="174" fontId="73" fillId="0" borderId="1" xfId="0" applyNumberFormat="1" applyFont="1"/>
    <xf numFmtId="168" fontId="73" fillId="0" borderId="1" xfId="0" applyFont="1"/>
    <xf numFmtId="172" fontId="73" fillId="0" borderId="1" xfId="25" applyFont="1" applyFill="1"/>
    <xf numFmtId="171" fontId="22" fillId="0" borderId="1" xfId="23" applyNumberFormat="1" applyFont="1" applyFill="1"/>
    <xf numFmtId="174" fontId="22" fillId="0" borderId="1" xfId="23" applyNumberFormat="1" applyFont="1" applyFill="1" applyAlignment="1">
      <alignment horizontal="right"/>
    </xf>
    <xf numFmtId="171" fontId="20" fillId="0" borderId="1" xfId="23" applyNumberFormat="1" applyFont="1" applyFill="1"/>
    <xf numFmtId="168" fontId="20" fillId="0" borderId="1" xfId="23" applyNumberFormat="1" applyFont="1" applyFill="1"/>
    <xf numFmtId="172" fontId="73" fillId="0" borderId="1" xfId="0" applyNumberFormat="1" applyFont="1"/>
    <xf numFmtId="173" fontId="74" fillId="43" borderId="9" xfId="0" applyNumberFormat="1" applyFont="1" applyFill="1" applyBorder="1"/>
    <xf numFmtId="168" fontId="22" fillId="42" borderId="1" xfId="0" applyFont="1" applyFill="1"/>
    <xf numFmtId="173" fontId="13" fillId="45" borderId="1" xfId="21" applyFont="1" applyFill="1" applyBorder="1" applyAlignment="1">
      <alignment horizontal="center"/>
    </xf>
    <xf numFmtId="168" fontId="75" fillId="19" borderId="1" xfId="0" applyFont="1" applyFill="1" applyAlignment="1">
      <alignment horizontal="left"/>
    </xf>
    <xf numFmtId="169" fontId="13" fillId="46" borderId="1" xfId="0" applyNumberFormat="1" applyFont="1" applyFill="1" applyAlignment="1">
      <alignment horizontal="center"/>
    </xf>
    <xf numFmtId="173" fontId="13" fillId="46" borderId="1" xfId="0" applyNumberFormat="1" applyFont="1" applyFill="1" applyAlignment="1">
      <alignment horizontal="center"/>
    </xf>
  </cellXfs>
  <cellStyles count="59">
    <cellStyle name="20% - Accent1" xfId="14" builtinId="30" hidden="1"/>
    <cellStyle name="20% - Accent2" xfId="15" builtinId="34" hidden="1"/>
    <cellStyle name="20% - Accent3" xfId="16" builtinId="38" hidden="1"/>
    <cellStyle name="20% - Accent4" xfId="17" builtinId="42" hidden="1"/>
    <cellStyle name="20% - Accent5" xfId="18" builtinId="46" hidden="1"/>
    <cellStyle name="20% - Accent6" xfId="51" builtinId="50" hidden="1"/>
    <cellStyle name="40% - Accent1" xfId="36" builtinId="31" hidden="1"/>
    <cellStyle name="40% - Accent2" xfId="39" builtinId="35" hidden="1"/>
    <cellStyle name="40% - Accent3" xfId="42" builtinId="39" hidden="1"/>
    <cellStyle name="40% - Accent4" xfId="45" builtinId="43" hidden="1"/>
    <cellStyle name="40% - Accent5" xfId="48" builtinId="47" hidden="1"/>
    <cellStyle name="40% - Accent6" xfId="52" builtinId="51" hidden="1"/>
    <cellStyle name="60% - Accent1" xfId="37" builtinId="32" hidden="1"/>
    <cellStyle name="60% - Accent2" xfId="40" builtinId="36" hidden="1"/>
    <cellStyle name="60% - Accent3" xfId="43" builtinId="40" hidden="1"/>
    <cellStyle name="60% - Accent4" xfId="46" builtinId="44" hidden="1"/>
    <cellStyle name="60% - Accent5" xfId="49" builtinId="48" hidden="1"/>
    <cellStyle name="60% - Accent6" xfId="53" builtinId="52" hidden="1"/>
    <cellStyle name="Accent1" xfId="35" builtinId="29" hidden="1"/>
    <cellStyle name="Accent2" xfId="38" builtinId="33" hidden="1"/>
    <cellStyle name="Accent3" xfId="41" builtinId="37" hidden="1"/>
    <cellStyle name="Accent4" xfId="44" builtinId="41" hidden="1"/>
    <cellStyle name="Accent5" xfId="47" builtinId="45" hidden="1"/>
    <cellStyle name="Accent6" xfId="50" builtinId="49" hidden="1"/>
    <cellStyle name="Background Fill" xfId="19" xr:uid="{D191FE50-09C8-424C-B523-D5D33B56345E}"/>
    <cellStyle name="Bad" xfId="5" builtinId="27" hidden="1"/>
    <cellStyle name="Calculation" xfId="9" builtinId="22" hidden="1"/>
    <cellStyle name="Check Cell" xfId="11" builtinId="23" hidden="1"/>
    <cellStyle name="Column Heading" xfId="20" xr:uid="{8CE03F7A-D579-4116-BD76-5386275F696F}"/>
    <cellStyle name="Comma" xfId="54" builtinId="3" hidden="1"/>
    <cellStyle name="Comma [0]" xfId="55" builtinId="6" hidden="1"/>
    <cellStyle name="Currency" xfId="56" builtinId="4" hidden="1"/>
    <cellStyle name="Currency [0]" xfId="57" builtinId="7" hidden="1"/>
    <cellStyle name="Date" xfId="21" xr:uid="{FA95EFB7-623E-4156-84B8-31B8752CCC36}"/>
    <cellStyle name="Date Heading" xfId="22" xr:uid="{44984087-7F5A-4DE4-9F41-09BCF05F1D03}"/>
    <cellStyle name="Explanatory Text" xfId="13" builtinId="53" hidden="1"/>
    <cellStyle name="Followed Hyperlink" xfId="2" builtinId="9" hidden="1" customBuiltin="1"/>
    <cellStyle name="Good" xfId="4" builtinId="26" hidden="1"/>
    <cellStyle name="Hard Coded Number" xfId="23" xr:uid="{82755E70-246C-4CB7-9303-88EF5B451766}"/>
    <cellStyle name="Heading" xfId="24" xr:uid="{C8A98528-CED2-4D7C-97E6-776B729BE0F9}"/>
    <cellStyle name="Heading 1" xfId="30" builtinId="16" hidden="1"/>
    <cellStyle name="Heading 2" xfId="31" builtinId="17" hidden="1"/>
    <cellStyle name="Heading 3" xfId="32" builtinId="18" hidden="1"/>
    <cellStyle name="Heading 4" xfId="33" builtinId="19" hidden="1"/>
    <cellStyle name="Hyperlink" xfId="1" builtinId="8" hidden="1" customBuiltin="1"/>
    <cellStyle name="Input" xfId="7" builtinId="20" customBuiltin="1"/>
    <cellStyle name="Linked Cell" xfId="10" builtinId="24" hidden="1"/>
    <cellStyle name="Multiple" xfId="25" xr:uid="{7924ABA2-E6A2-45F9-B328-713CA1055226}"/>
    <cellStyle name="Neutral" xfId="6" builtinId="28" hidden="1"/>
    <cellStyle name="Normal" xfId="0" builtinId="0" customBuiltin="1"/>
    <cellStyle name="Note" xfId="58" builtinId="10" hidden="1"/>
    <cellStyle name="Output" xfId="8" builtinId="21" hidden="1"/>
    <cellStyle name="Per cent" xfId="3" builtinId="5" customBuiltin="1"/>
    <cellStyle name="Primary Title" xfId="26" xr:uid="{6B18F1F5-1555-429C-AD8E-4077B9A3BD34}"/>
    <cellStyle name="Secondary Title" xfId="27" xr:uid="{85E7E940-8AA6-49D5-9D0B-C04186ADEBA4}"/>
    <cellStyle name="Tertiary Title" xfId="28" xr:uid="{E083078C-9C44-412C-A3EE-BC4704FC53AB}"/>
    <cellStyle name="Title" xfId="29" builtinId="15" hidden="1"/>
    <cellStyle name="Total" xfId="34" builtinId="25" hidden="1"/>
    <cellStyle name="Warning Text" xfId="12" builtinId="11" hidden="1"/>
  </cellStyles>
  <dxfs count="2">
    <dxf>
      <fill>
        <patternFill>
          <bgColor theme="9" tint="0.79998168889431442"/>
        </patternFill>
      </fill>
    </dxf>
    <dxf>
      <fill>
        <patternFill>
          <bgColor theme="9" tint="0.79998168889431442"/>
        </patternFill>
      </fill>
    </dxf>
  </dxfs>
  <tableStyles count="0" defaultTableStyle="TableStyleMedium2" defaultPivotStyle="PivotStyleLight16"/>
  <colors>
    <mruColors>
      <color rgb="FF163260"/>
      <color rgb="FF97ABE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lvl="0">
              <a:defRPr sz="1400" b="0" i="0">
                <a:solidFill>
                  <a:srgbClr val="979797"/>
                </a:solidFill>
                <a:latin typeface="+mn-lt"/>
              </a:defRPr>
            </a:pPr>
            <a:r>
              <a:rPr lang="en-GB" sz="1400" b="0" i="0">
                <a:solidFill>
                  <a:sysClr val="windowText" lastClr="000000"/>
                </a:solidFill>
                <a:latin typeface="+mn-lt"/>
              </a:rPr>
              <a:t>Red Bull Enterprise Value EURbn</a:t>
            </a:r>
          </a:p>
        </c:rich>
      </c:tx>
      <c:overlay val="0"/>
    </c:title>
    <c:autoTitleDeleted val="0"/>
    <c:plotArea>
      <c:layout/>
      <c:barChart>
        <c:barDir val="bar"/>
        <c:grouping val="stacked"/>
        <c:varyColors val="1"/>
        <c:ser>
          <c:idx val="0"/>
          <c:order val="0"/>
          <c:spPr>
            <a:noFill/>
            <a:ln cmpd="sng">
              <a:noFill/>
            </a:ln>
          </c:spPr>
          <c:invertIfNegative val="1"/>
          <c:cat>
            <c:strRef>
              <c:f>Valuation_summary!$B$47:$B$52</c:f>
              <c:strCache>
                <c:ptCount val="6"/>
                <c:pt idx="0">
                  <c:v>EV / CY2 Revenue </c:v>
                </c:pt>
                <c:pt idx="1">
                  <c:v>EV / CY2 EBITDA </c:v>
                </c:pt>
                <c:pt idx="2">
                  <c:v>DCF WACC 5.5% - 5.7%, LT growth 2.5% - 2.7% </c:v>
                </c:pt>
                <c:pt idx="3">
                  <c:v>DCF with synergies 8.2% of revenue </c:v>
                </c:pt>
                <c:pt idx="4">
                  <c:v>Transaction multiples EV </c:v>
                </c:pt>
                <c:pt idx="5">
                  <c:v>LBO, IRR 20.0% to 22.0% </c:v>
                </c:pt>
              </c:strCache>
            </c:strRef>
          </c:cat>
          <c:val>
            <c:numRef>
              <c:f>Valuation_summary!$C$47:$C$52</c:f>
              <c:numCache>
                <c:formatCode>#,##0.0_);\(#,##0.0\);0.0_);@_)</c:formatCode>
                <c:ptCount val="6"/>
                <c:pt idx="0">
                  <c:v>102584.43201351383</c:v>
                </c:pt>
                <c:pt idx="1">
                  <c:v>91011.583799492102</c:v>
                </c:pt>
                <c:pt idx="2">
                  <c:v>109527.32217016032</c:v>
                </c:pt>
                <c:pt idx="3">
                  <c:v>129888.9280743025</c:v>
                </c:pt>
                <c:pt idx="4">
                  <c:v>57495.42857142858</c:v>
                </c:pt>
                <c:pt idx="5">
                  <c:v>56663.938736897224</c:v>
                </c:pt>
              </c:numCache>
            </c:numRef>
          </c:val>
          <c:extLst>
            <c:ext xmlns:c16="http://schemas.microsoft.com/office/drawing/2014/chart" uri="{C3380CC4-5D6E-409C-BE32-E72D297353CC}">
              <c16:uniqueId val="{00000000-8188-49B6-9796-C5028DA53C2B}"/>
            </c:ext>
          </c:extLst>
        </c:ser>
        <c:ser>
          <c:idx val="1"/>
          <c:order val="1"/>
          <c:spPr>
            <a:solidFill>
              <a:srgbClr val="8064A2"/>
            </a:solidFill>
            <a:ln cmpd="sng">
              <a:noFill/>
            </a:ln>
          </c:spPr>
          <c:invertIfNegative val="1"/>
          <c:cat>
            <c:strRef>
              <c:f>Valuation_summary!$B$47:$B$52</c:f>
              <c:strCache>
                <c:ptCount val="6"/>
                <c:pt idx="0">
                  <c:v>EV / CY2 Revenue </c:v>
                </c:pt>
                <c:pt idx="1">
                  <c:v>EV / CY2 EBITDA </c:v>
                </c:pt>
                <c:pt idx="2">
                  <c:v>DCF WACC 5.5% - 5.7%, LT growth 2.5% - 2.7% </c:v>
                </c:pt>
                <c:pt idx="3">
                  <c:v>DCF with synergies 8.2% of revenue </c:v>
                </c:pt>
                <c:pt idx="4">
                  <c:v>Transaction multiples EV </c:v>
                </c:pt>
                <c:pt idx="5">
                  <c:v>LBO, IRR 20.0% to 22.0% </c:v>
                </c:pt>
              </c:strCache>
            </c:strRef>
          </c:cat>
          <c:val>
            <c:numRef>
              <c:f>Valuation_summary!$D$47:$D$52</c:f>
              <c:numCache>
                <c:formatCode>#,##0.0_);\(#,##0.0\);0.0_);@_)</c:formatCode>
                <c:ptCount val="6"/>
                <c:pt idx="0">
                  <c:v>14462.040730465233</c:v>
                </c:pt>
                <c:pt idx="1">
                  <c:v>25254.166238154969</c:v>
                </c:pt>
                <c:pt idx="2">
                  <c:v>14605.398304410468</c:v>
                </c:pt>
                <c:pt idx="3">
                  <c:v>14605.398304410483</c:v>
                </c:pt>
                <c:pt idx="4">
                  <c:v>34450.038219387061</c:v>
                </c:pt>
                <c:pt idx="5">
                  <c:v>7431.3362277897977</c:v>
                </c:pt>
              </c:numCache>
            </c:numRef>
          </c:val>
          <c:extLst>
            <c:ext xmlns:c14="http://schemas.microsoft.com/office/drawing/2007/8/2/chart" uri="{6F2FDCE9-48DA-4B69-8628-5D25D57E5C99}">
              <c14:invertSolidFillFmt>
                <c14:spPr xmlns:c14="http://schemas.microsoft.com/office/drawing/2007/8/2/chart">
                  <a:solidFill>
                    <a:srgbClr val="FFFFFF"/>
                  </a:solidFill>
                  <a:ln cmpd="sng">
                    <a:noFill/>
                  </a:ln>
                </c14:spPr>
              </c14:invertSolidFillFmt>
            </c:ext>
            <c:ext xmlns:c16="http://schemas.microsoft.com/office/drawing/2014/chart" uri="{C3380CC4-5D6E-409C-BE32-E72D297353CC}">
              <c16:uniqueId val="{00000001-8188-49B6-9796-C5028DA53C2B}"/>
            </c:ext>
          </c:extLst>
        </c:ser>
        <c:dLbls>
          <c:showLegendKey val="0"/>
          <c:showVal val="0"/>
          <c:showCatName val="0"/>
          <c:showSerName val="0"/>
          <c:showPercent val="0"/>
          <c:showBubbleSize val="0"/>
        </c:dLbls>
        <c:gapWidth val="150"/>
        <c:overlap val="100"/>
        <c:axId val="1865215349"/>
        <c:axId val="1842525773"/>
      </c:barChart>
      <c:scatterChart>
        <c:scatterStyle val="lineMarker"/>
        <c:varyColors val="1"/>
        <c:ser>
          <c:idx val="2"/>
          <c:order val="2"/>
          <c:tx>
            <c:v>Share Price Low</c:v>
          </c:tx>
          <c:spPr>
            <a:ln>
              <a:solidFill>
                <a:schemeClr val="tx1"/>
              </a:solidFill>
              <a:prstDash val="sysDash"/>
            </a:ln>
          </c:spPr>
          <c:marker>
            <c:symbol val="none"/>
          </c:marker>
          <c:xVal>
            <c:numRef>
              <c:f>Valuation_summary!$I$55:$I$57</c:f>
              <c:numCache>
                <c:formatCode>#,##0.0_);\(#,##0.0\);0.0_);@_)</c:formatCode>
                <c:ptCount val="3"/>
                <c:pt idx="0">
                  <c:v>95000</c:v>
                </c:pt>
                <c:pt idx="1">
                  <c:v>95000</c:v>
                </c:pt>
              </c:numCache>
            </c:numRef>
          </c:xVal>
          <c:yVal>
            <c:numRef>
              <c:f>Valuation_summary!$H$55:$H$56</c:f>
              <c:numCache>
                <c:formatCode>#,##0.0_);\(#,##0.0\);0.0_);@_)</c:formatCode>
                <c:ptCount val="2"/>
                <c:pt idx="0">
                  <c:v>0</c:v>
                </c:pt>
                <c:pt idx="1">
                  <c:v>6</c:v>
                </c:pt>
              </c:numCache>
            </c:numRef>
          </c:yVal>
          <c:smooth val="0"/>
          <c:extLst>
            <c:ext xmlns:c16="http://schemas.microsoft.com/office/drawing/2014/chart" uri="{C3380CC4-5D6E-409C-BE32-E72D297353CC}">
              <c16:uniqueId val="{00000002-5A58-4C90-83D1-A8A2F286DB10}"/>
            </c:ext>
          </c:extLst>
        </c:ser>
        <c:ser>
          <c:idx val="3"/>
          <c:order val="3"/>
          <c:marker>
            <c:symbol val="none"/>
          </c:marker>
          <c:dPt>
            <c:idx val="1"/>
            <c:bubble3D val="0"/>
            <c:spPr>
              <a:ln>
                <a:solidFill>
                  <a:schemeClr val="tx1"/>
                </a:solidFill>
                <a:prstDash val="sysDash"/>
              </a:ln>
            </c:spPr>
            <c:extLst>
              <c:ext xmlns:c16="http://schemas.microsoft.com/office/drawing/2014/chart" uri="{C3380CC4-5D6E-409C-BE32-E72D297353CC}">
                <c16:uniqueId val="{00000000-439B-4E83-89F8-25CC504E016B}"/>
              </c:ext>
            </c:extLst>
          </c:dPt>
          <c:xVal>
            <c:numRef>
              <c:f>Valuation_summary!$I$55:$I$56</c:f>
              <c:numCache>
                <c:formatCode>#,##0.0_);\(#,##0.0\);0.0_);@_)</c:formatCode>
                <c:ptCount val="2"/>
                <c:pt idx="0">
                  <c:v>95000</c:v>
                </c:pt>
                <c:pt idx="1">
                  <c:v>95000</c:v>
                </c:pt>
              </c:numCache>
            </c:numRef>
          </c:xVal>
          <c:yVal>
            <c:numRef>
              <c:f>Valuation_summary!$H$55:$H$56</c:f>
              <c:numCache>
                <c:formatCode>#,##0.0_);\(#,##0.0\);0.0_);@_)</c:formatCode>
                <c:ptCount val="2"/>
                <c:pt idx="0">
                  <c:v>0</c:v>
                </c:pt>
                <c:pt idx="1">
                  <c:v>6</c:v>
                </c:pt>
              </c:numCache>
            </c:numRef>
          </c:yVal>
          <c:smooth val="0"/>
          <c:extLst>
            <c:ext xmlns:c16="http://schemas.microsoft.com/office/drawing/2014/chart" uri="{C3380CC4-5D6E-409C-BE32-E72D297353CC}">
              <c16:uniqueId val="{00000004-5A58-4C90-83D1-A8A2F286DB10}"/>
            </c:ext>
          </c:extLst>
        </c:ser>
        <c:ser>
          <c:idx val="4"/>
          <c:order val="4"/>
          <c:tx>
            <c:v>Series 3</c:v>
          </c:tx>
          <c:spPr>
            <a:ln>
              <a:solidFill>
                <a:schemeClr val="tx1"/>
              </a:solidFill>
              <a:prstDash val="sysDash"/>
            </a:ln>
          </c:spPr>
          <c:marker>
            <c:symbol val="none"/>
          </c:marker>
          <c:xVal>
            <c:numRef>
              <c:f>Valuation_summary!$I$58:$I$59</c:f>
              <c:numCache>
                <c:formatCode>#,##0.0_);\(#,##0.0\);0.0_);@_)</c:formatCode>
                <c:ptCount val="2"/>
                <c:pt idx="0">
                  <c:v>110000</c:v>
                </c:pt>
                <c:pt idx="1">
                  <c:v>110000</c:v>
                </c:pt>
              </c:numCache>
            </c:numRef>
          </c:xVal>
          <c:yVal>
            <c:numRef>
              <c:f>Valuation_summary!$H$58:$H$59</c:f>
              <c:numCache>
                <c:formatCode>#,##0.0_);\(#,##0.0\);0.0_);@_)</c:formatCode>
                <c:ptCount val="2"/>
                <c:pt idx="0">
                  <c:v>0</c:v>
                </c:pt>
                <c:pt idx="1">
                  <c:v>6</c:v>
                </c:pt>
              </c:numCache>
            </c:numRef>
          </c:yVal>
          <c:smooth val="0"/>
          <c:extLst>
            <c:ext xmlns:c16="http://schemas.microsoft.com/office/drawing/2014/chart" uri="{C3380CC4-5D6E-409C-BE32-E72D297353CC}">
              <c16:uniqueId val="{00000001-439B-4E83-89F8-25CC504E016B}"/>
            </c:ext>
          </c:extLst>
        </c:ser>
        <c:dLbls>
          <c:showLegendKey val="0"/>
          <c:showVal val="0"/>
          <c:showCatName val="0"/>
          <c:showSerName val="0"/>
          <c:showPercent val="0"/>
          <c:showBubbleSize val="0"/>
        </c:dLbls>
        <c:axId val="829687048"/>
        <c:axId val="829686064"/>
      </c:scatterChart>
      <c:catAx>
        <c:axId val="1865215349"/>
        <c:scaling>
          <c:orientation val="maxMin"/>
        </c:scaling>
        <c:delete val="0"/>
        <c:axPos val="l"/>
        <c:title>
          <c:tx>
            <c:rich>
              <a:bodyPr/>
              <a:lstStyle/>
              <a:p>
                <a:pPr lvl="0">
                  <a:defRPr b="0">
                    <a:solidFill>
                      <a:srgbClr val="3F3F3F"/>
                    </a:solidFill>
                    <a:latin typeface="+mn-lt"/>
                  </a:defRPr>
                </a:pPr>
                <a:endParaRPr lang="en-GB"/>
              </a:p>
            </c:rich>
          </c:tx>
          <c:overlay val="0"/>
        </c:title>
        <c:numFmt formatCode="General" sourceLinked="1"/>
        <c:majorTickMark val="none"/>
        <c:minorTickMark val="none"/>
        <c:tickLblPos val="nextTo"/>
        <c:txPr>
          <a:bodyPr/>
          <a:lstStyle/>
          <a:p>
            <a:pPr lvl="0">
              <a:defRPr sz="1000" b="0" i="0">
                <a:solidFill>
                  <a:sysClr val="windowText" lastClr="000000"/>
                </a:solidFill>
                <a:latin typeface="+mn-lt"/>
              </a:defRPr>
            </a:pPr>
            <a:endParaRPr lang="en-US"/>
          </a:p>
        </c:txPr>
        <c:crossAx val="1842525773"/>
        <c:crosses val="autoZero"/>
        <c:auto val="1"/>
        <c:lblAlgn val="ctr"/>
        <c:lblOffset val="100"/>
        <c:noMultiLvlLbl val="1"/>
      </c:catAx>
      <c:valAx>
        <c:axId val="1842525773"/>
        <c:scaling>
          <c:orientation val="minMax"/>
          <c:min val="0"/>
        </c:scaling>
        <c:delete val="0"/>
        <c:axPos val="b"/>
        <c:title>
          <c:tx>
            <c:rich>
              <a:bodyPr/>
              <a:lstStyle/>
              <a:p>
                <a:pPr lvl="0">
                  <a:defRPr b="0">
                    <a:solidFill>
                      <a:srgbClr val="3F3F3F"/>
                    </a:solidFill>
                    <a:latin typeface="+mn-lt"/>
                  </a:defRPr>
                </a:pPr>
                <a:endParaRPr lang="en-GB"/>
              </a:p>
            </c:rich>
          </c:tx>
          <c:overlay val="0"/>
        </c:title>
        <c:numFmt formatCode="#,##0.0_);\(#,##0.0\);0.0_);@_)" sourceLinked="1"/>
        <c:majorTickMark val="none"/>
        <c:minorTickMark val="none"/>
        <c:tickLblPos val="nextTo"/>
        <c:spPr>
          <a:ln/>
        </c:spPr>
        <c:txPr>
          <a:bodyPr/>
          <a:lstStyle/>
          <a:p>
            <a:pPr lvl="0">
              <a:defRPr sz="1000" b="0" i="0">
                <a:solidFill>
                  <a:sysClr val="windowText" lastClr="000000"/>
                </a:solidFill>
                <a:latin typeface="+mn-lt"/>
              </a:defRPr>
            </a:pPr>
            <a:endParaRPr lang="en-US"/>
          </a:p>
        </c:txPr>
        <c:crossAx val="1865215349"/>
        <c:crosses val="max"/>
        <c:crossBetween val="between"/>
        <c:dispUnits>
          <c:builtInUnit val="thousands"/>
        </c:dispUnits>
      </c:valAx>
      <c:valAx>
        <c:axId val="829686064"/>
        <c:scaling>
          <c:orientation val="minMax"/>
          <c:max val="6"/>
        </c:scaling>
        <c:delete val="1"/>
        <c:axPos val="r"/>
        <c:numFmt formatCode="#,##0.0_);\(#,##0.0\);0.0_);@_)" sourceLinked="1"/>
        <c:majorTickMark val="out"/>
        <c:minorTickMark val="none"/>
        <c:tickLblPos val="nextTo"/>
        <c:crossAx val="829687048"/>
        <c:crosses val="max"/>
        <c:crossBetween val="midCat"/>
      </c:valAx>
      <c:valAx>
        <c:axId val="829687048"/>
        <c:scaling>
          <c:orientation val="minMax"/>
        </c:scaling>
        <c:delete val="1"/>
        <c:axPos val="b"/>
        <c:numFmt formatCode="#,##0.0_);\(#,##0.0\);0.0_);@_)" sourceLinked="1"/>
        <c:majorTickMark val="out"/>
        <c:minorTickMark val="none"/>
        <c:tickLblPos val="nextTo"/>
        <c:crossAx val="829686064"/>
        <c:crosses val="autoZero"/>
        <c:crossBetween val="midCat"/>
      </c:valAx>
    </c:plotArea>
    <c:plotVisOnly val="1"/>
    <c:dispBlanksAs val="zero"/>
    <c:showDLblsOverMax val="1"/>
  </c:chart>
  <c:printSettings>
    <c:headerFooter/>
    <c:pageMargins b="0.75" l="0.7" r="0.7" t="0.75" header="0.3" footer="0.3"/>
    <c:pageSetup orientation="portrait"/>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1</xdr:col>
      <xdr:colOff>1028700</xdr:colOff>
      <xdr:row>52</xdr:row>
      <xdr:rowOff>142875</xdr:rowOff>
    </xdr:from>
    <xdr:ext cx="7172325" cy="2762250"/>
    <xdr:graphicFrame macro="">
      <xdr:nvGraphicFramePr>
        <xdr:cNvPr id="1846476517" name="Chart 1">
          <a:extLst>
            <a:ext uri="{FF2B5EF4-FFF2-40B4-BE49-F238E27FC236}">
              <a16:creationId xmlns:a16="http://schemas.microsoft.com/office/drawing/2014/main" id="{00000000-0008-0000-1000-0000E5FE0E6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Sheets">
  <a:themeElements>
    <a:clrScheme name="Sheets">
      <a:dk1>
        <a:srgbClr val="3F3F3F"/>
      </a:dk1>
      <a:lt1>
        <a:srgbClr val="FFFFFF"/>
      </a:lt1>
      <a:dk2>
        <a:srgbClr val="3F3F3F"/>
      </a:dk2>
      <a:lt2>
        <a:srgbClr val="FFFFFF"/>
      </a:lt2>
      <a:accent1>
        <a:srgbClr val="085393"/>
      </a:accent1>
      <a:accent2>
        <a:srgbClr val="8064A2"/>
      </a:accent2>
      <a:accent3>
        <a:srgbClr val="C0504D"/>
      </a:accent3>
      <a:accent4>
        <a:srgbClr val="ED7D31"/>
      </a:accent4>
      <a:accent5>
        <a:srgbClr val="FFC000"/>
      </a:accent5>
      <a:accent6>
        <a:srgbClr val="70AD47"/>
      </a:accent6>
      <a:hlink>
        <a:srgbClr val="085393"/>
      </a:hlink>
      <a:folHlink>
        <a:srgbClr val="085393"/>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793" row="5">
    <wetp:webextensionref xmlns:r="http://schemas.openxmlformats.org/officeDocument/2006/relationships" r:id="rId1"/>
  </wetp:taskpane>
</wetp:taskpanes>
</file>

<file path=xl/webextensions/webextension1.xml><?xml version="1.0" encoding="utf-8"?>
<we:webextension xmlns:we="http://schemas.microsoft.com/office/webextensions/webextension/2010/11" id="{A66A38C1-0639-4348-ADBA-8D565AF5E37B}">
  <we:reference id="wa200009404" version="1.0.0.5" store="en-US" storeType="OMEX"/>
  <we:alternateReferences>
    <we:reference id="WA200009404" version="1.0.0.5" store="" storeType="OMEX"/>
  </we:alternateReferences>
  <we:properties>
    <we:property name="Office.AutoShowTaskpaneWithDocument" value="true"/>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163260"/>
  </sheetPr>
  <dimension ref="A1:AJ1000"/>
  <sheetViews>
    <sheetView showGridLines="0" tabSelected="1" zoomScaleNormal="100" zoomScaleSheetLayoutView="85" workbookViewId="0">
      <selection sqref="A1:Q1"/>
    </sheetView>
  </sheetViews>
  <sheetFormatPr defaultColWidth="12.5703125" defaultRowHeight="15" customHeight="1" x14ac:dyDescent="0.25"/>
  <cols>
    <col min="1" max="1" width="2.85546875" customWidth="1"/>
    <col min="2" max="2" width="5.7109375" customWidth="1"/>
    <col min="3" max="3" width="24.7109375" customWidth="1"/>
    <col min="4" max="4" width="2.5703125" customWidth="1"/>
    <col min="5" max="5" width="49.5703125" customWidth="1"/>
    <col min="6" max="7" width="1.140625" customWidth="1"/>
    <col min="8" max="8" width="2.5703125" customWidth="1"/>
    <col min="9" max="9" width="37.5703125" customWidth="1"/>
    <col min="10" max="11" width="3.85546875" customWidth="1"/>
    <col min="12" max="12" width="20" customWidth="1"/>
    <col min="13" max="13" width="1.140625" customWidth="1"/>
    <col min="14" max="14" width="24.7109375" customWidth="1"/>
    <col min="15" max="15" width="2.5703125" customWidth="1"/>
    <col min="16" max="16" width="28.5703125" customWidth="1"/>
    <col min="17" max="17" width="2.5703125" customWidth="1"/>
    <col min="18" max="18" width="1.140625" customWidth="1"/>
    <col min="19" max="36" width="8" customWidth="1"/>
  </cols>
  <sheetData>
    <row r="1" spans="1:36" ht="30" customHeight="1" x14ac:dyDescent="0.25">
      <c r="A1" s="211" t="s">
        <v>682</v>
      </c>
      <c r="B1" s="211"/>
      <c r="C1" s="211"/>
      <c r="D1" s="211"/>
      <c r="E1" s="211"/>
      <c r="F1" s="211"/>
      <c r="G1" s="211"/>
      <c r="H1" s="211"/>
      <c r="I1" s="211"/>
      <c r="J1" s="211"/>
      <c r="K1" s="211"/>
      <c r="L1" s="211"/>
      <c r="M1" s="211"/>
      <c r="N1" s="211"/>
      <c r="O1" s="211"/>
      <c r="P1" s="211"/>
      <c r="Q1" s="211"/>
    </row>
    <row r="2" spans="1:36" ht="20.100000000000001" customHeight="1" x14ac:dyDescent="0.25">
      <c r="A2" s="212" t="s">
        <v>683</v>
      </c>
      <c r="B2" s="212"/>
      <c r="C2" s="212"/>
      <c r="D2" s="212"/>
      <c r="E2" s="212"/>
      <c r="F2" s="212"/>
      <c r="G2" s="212"/>
      <c r="H2" s="212"/>
      <c r="I2" s="212"/>
      <c r="J2" s="212"/>
      <c r="K2" s="212"/>
      <c r="L2" s="212"/>
      <c r="M2" s="212"/>
      <c r="N2" s="212"/>
      <c r="O2" s="212"/>
      <c r="P2" s="212"/>
      <c r="Q2" s="212"/>
    </row>
    <row r="3" spans="1:36" ht="8.1" customHeight="1" x14ac:dyDescent="0.25">
      <c r="A3" s="182"/>
      <c r="B3" s="183"/>
      <c r="C3" s="183"/>
      <c r="D3" s="183"/>
      <c r="E3" s="183"/>
      <c r="F3" s="183"/>
      <c r="G3" s="183"/>
      <c r="H3" s="183"/>
      <c r="I3" s="183"/>
      <c r="J3" s="183"/>
      <c r="K3" s="183"/>
      <c r="L3" s="183"/>
      <c r="M3" s="183"/>
      <c r="N3" s="183"/>
      <c r="O3" s="183"/>
      <c r="P3" s="183"/>
      <c r="Q3" s="183"/>
      <c r="Y3" s="87"/>
      <c r="Z3" s="87"/>
      <c r="AA3" s="87"/>
      <c r="AB3" s="87"/>
      <c r="AC3" s="87"/>
      <c r="AD3" s="87"/>
      <c r="AE3" s="87"/>
      <c r="AF3" s="87"/>
      <c r="AG3" s="87"/>
      <c r="AH3" s="87"/>
      <c r="AI3" s="87"/>
      <c r="AJ3" s="87"/>
    </row>
    <row r="4" spans="1:36" ht="21.95" customHeight="1" thickBot="1" x14ac:dyDescent="0.3">
      <c r="A4" s="182"/>
      <c r="B4" s="184" t="s">
        <v>687</v>
      </c>
      <c r="C4" s="185"/>
      <c r="D4" s="185"/>
      <c r="E4" s="185"/>
      <c r="F4" s="185"/>
      <c r="G4" s="185"/>
      <c r="H4" s="185"/>
      <c r="I4" s="185"/>
      <c r="J4" s="182"/>
      <c r="K4" s="182"/>
      <c r="L4" s="220" t="s">
        <v>0</v>
      </c>
      <c r="M4" s="221"/>
      <c r="N4" s="221"/>
      <c r="O4" s="221"/>
      <c r="P4" s="221"/>
      <c r="Q4" s="181"/>
      <c r="Y4" s="87"/>
      <c r="Z4" s="87"/>
      <c r="AA4" s="87"/>
      <c r="AB4" s="87"/>
      <c r="AC4" s="87"/>
      <c r="AD4" s="87"/>
      <c r="AE4" s="87"/>
      <c r="AF4" s="87"/>
      <c r="AG4" s="87"/>
      <c r="AH4" s="87"/>
      <c r="AI4" s="87"/>
      <c r="AJ4" s="87"/>
    </row>
    <row r="5" spans="1:36" ht="21.95" customHeight="1" x14ac:dyDescent="0.25">
      <c r="A5" s="182"/>
      <c r="B5" s="186" t="s">
        <v>688</v>
      </c>
      <c r="C5" s="187" t="s">
        <v>689</v>
      </c>
      <c r="D5" s="182"/>
      <c r="E5" s="187" t="s">
        <v>490</v>
      </c>
      <c r="F5" s="182"/>
      <c r="G5" s="182"/>
      <c r="H5" s="182"/>
      <c r="I5" s="182"/>
      <c r="J5" s="182"/>
      <c r="K5" s="182"/>
      <c r="L5" s="188" t="s">
        <v>258</v>
      </c>
      <c r="M5" s="189"/>
      <c r="N5" s="222" t="s">
        <v>2</v>
      </c>
      <c r="O5" s="222"/>
      <c r="P5" s="222"/>
      <c r="Q5" s="222"/>
      <c r="Y5" s="87"/>
      <c r="Z5" s="87"/>
      <c r="AA5" s="87"/>
      <c r="AB5" s="87"/>
      <c r="AC5" s="87"/>
      <c r="AD5" s="87"/>
      <c r="AE5" s="87"/>
      <c r="AF5" s="87"/>
      <c r="AG5" s="87"/>
      <c r="AH5" s="87"/>
      <c r="AI5" s="87"/>
      <c r="AJ5" s="87"/>
    </row>
    <row r="6" spans="1:36" ht="21.95" customHeight="1" x14ac:dyDescent="0.25">
      <c r="A6" s="182"/>
      <c r="B6" s="190">
        <v>1</v>
      </c>
      <c r="C6" s="191" t="s">
        <v>690</v>
      </c>
      <c r="D6" s="192"/>
      <c r="E6" s="210" t="s">
        <v>691</v>
      </c>
      <c r="F6" s="210"/>
      <c r="G6" s="210"/>
      <c r="H6" s="210"/>
      <c r="I6" s="210"/>
      <c r="J6" s="182"/>
      <c r="K6" s="182"/>
      <c r="L6" s="193" t="s">
        <v>684</v>
      </c>
      <c r="M6" s="194"/>
      <c r="N6" s="223">
        <v>46077</v>
      </c>
      <c r="O6" s="215"/>
      <c r="P6" s="215"/>
      <c r="Q6" s="215"/>
      <c r="Y6" s="87"/>
      <c r="Z6" s="87"/>
      <c r="AA6" s="87"/>
      <c r="AB6" s="87"/>
      <c r="AC6" s="87"/>
      <c r="AD6" s="87"/>
      <c r="AE6" s="87"/>
      <c r="AF6" s="87"/>
      <c r="AG6" s="87"/>
      <c r="AH6" s="87"/>
      <c r="AI6" s="87"/>
      <c r="AJ6" s="87"/>
    </row>
    <row r="7" spans="1:36" ht="21.95" customHeight="1" x14ac:dyDescent="0.25">
      <c r="A7" s="182"/>
      <c r="B7" s="195">
        <v>2</v>
      </c>
      <c r="C7" s="196" t="s">
        <v>328</v>
      </c>
      <c r="D7" s="182"/>
      <c r="E7" s="208" t="s">
        <v>692</v>
      </c>
      <c r="F7" s="208"/>
      <c r="G7" s="208"/>
      <c r="H7" s="208"/>
      <c r="I7" s="208"/>
      <c r="J7" s="182"/>
      <c r="K7" s="182"/>
      <c r="L7" s="188" t="s">
        <v>5</v>
      </c>
      <c r="M7" s="189"/>
      <c r="N7" s="219" t="s">
        <v>685</v>
      </c>
      <c r="O7" s="219"/>
      <c r="P7" s="219"/>
      <c r="Q7" s="219"/>
      <c r="Y7" s="87"/>
      <c r="Z7" s="87"/>
      <c r="AA7" s="87"/>
      <c r="AB7" s="87"/>
      <c r="AC7" s="87"/>
      <c r="AD7" s="87"/>
      <c r="AE7" s="87"/>
      <c r="AF7" s="87"/>
      <c r="AG7" s="87"/>
      <c r="AH7" s="87"/>
      <c r="AI7" s="87"/>
      <c r="AJ7" s="87"/>
    </row>
    <row r="8" spans="1:36" ht="21.95" customHeight="1" x14ac:dyDescent="0.25">
      <c r="A8" s="182"/>
      <c r="B8" s="190">
        <v>3</v>
      </c>
      <c r="C8" s="191" t="s">
        <v>475</v>
      </c>
      <c r="D8" s="192"/>
      <c r="E8" s="210" t="s">
        <v>693</v>
      </c>
      <c r="F8" s="210"/>
      <c r="G8" s="210"/>
      <c r="H8" s="210"/>
      <c r="I8" s="210"/>
      <c r="J8" s="182"/>
      <c r="K8" s="182"/>
      <c r="L8" s="193" t="s">
        <v>7</v>
      </c>
      <c r="M8" s="194"/>
      <c r="N8" s="218" t="s">
        <v>8</v>
      </c>
      <c r="O8" s="218"/>
      <c r="P8" s="218"/>
      <c r="Q8" s="218"/>
      <c r="Y8" s="87"/>
      <c r="Z8" s="87"/>
      <c r="AA8" s="87"/>
      <c r="AB8" s="87"/>
      <c r="AC8" s="87"/>
      <c r="AD8" s="87"/>
      <c r="AE8" s="87"/>
      <c r="AF8" s="87"/>
      <c r="AG8" s="87"/>
      <c r="AH8" s="87"/>
      <c r="AI8" s="87"/>
      <c r="AJ8" s="87"/>
    </row>
    <row r="9" spans="1:36" ht="21.95" customHeight="1" x14ac:dyDescent="0.25">
      <c r="A9" s="182"/>
      <c r="B9" s="195">
        <v>4</v>
      </c>
      <c r="C9" s="196" t="s">
        <v>694</v>
      </c>
      <c r="D9" s="182"/>
      <c r="E9" s="208" t="s">
        <v>695</v>
      </c>
      <c r="F9" s="208"/>
      <c r="G9" s="208"/>
      <c r="H9" s="208"/>
      <c r="I9" s="208"/>
      <c r="J9" s="182"/>
      <c r="K9" s="182"/>
      <c r="L9" s="188" t="s">
        <v>686</v>
      </c>
      <c r="M9" s="189"/>
      <c r="N9" s="219" t="s">
        <v>650</v>
      </c>
      <c r="O9" s="219"/>
      <c r="P9" s="219"/>
      <c r="Q9" s="219"/>
      <c r="Y9" s="87"/>
      <c r="Z9" s="87"/>
      <c r="AA9" s="87"/>
      <c r="AB9" s="87"/>
      <c r="AC9" s="87"/>
      <c r="AD9" s="87"/>
      <c r="AE9" s="87"/>
      <c r="AF9" s="87"/>
      <c r="AG9" s="87"/>
      <c r="AH9" s="87"/>
      <c r="AI9" s="87"/>
      <c r="AJ9" s="87"/>
    </row>
    <row r="10" spans="1:36" ht="21.95" customHeight="1" x14ac:dyDescent="0.25">
      <c r="A10" s="182"/>
      <c r="B10" s="197"/>
      <c r="C10" s="198" t="s">
        <v>696</v>
      </c>
      <c r="D10" s="192"/>
      <c r="E10" s="209" t="s">
        <v>710</v>
      </c>
      <c r="F10" s="209"/>
      <c r="G10" s="209"/>
      <c r="H10" s="209"/>
      <c r="I10" s="209"/>
      <c r="J10" s="182"/>
      <c r="K10" s="182"/>
      <c r="L10" s="193" t="s">
        <v>10</v>
      </c>
      <c r="M10" s="194"/>
      <c r="N10" s="213">
        <v>1</v>
      </c>
      <c r="O10" s="214"/>
      <c r="P10" s="215"/>
      <c r="Q10" s="215"/>
      <c r="Y10" s="87"/>
      <c r="Z10" s="87"/>
      <c r="AA10" s="87"/>
      <c r="AB10" s="87"/>
      <c r="AC10" s="87"/>
      <c r="AD10" s="87"/>
      <c r="AE10" s="87"/>
      <c r="AF10" s="87"/>
      <c r="AG10" s="87"/>
      <c r="AH10" s="87"/>
      <c r="AI10" s="87"/>
      <c r="AJ10" s="87"/>
    </row>
    <row r="11" spans="1:36" ht="21.95" customHeight="1" x14ac:dyDescent="0.25">
      <c r="A11" s="182"/>
      <c r="B11" s="195">
        <v>5</v>
      </c>
      <c r="C11" s="196" t="s">
        <v>697</v>
      </c>
      <c r="D11" s="182"/>
      <c r="E11" s="208" t="s">
        <v>698</v>
      </c>
      <c r="F11" s="208"/>
      <c r="G11" s="208"/>
      <c r="H11" s="208"/>
      <c r="I11" s="208"/>
      <c r="J11" s="182"/>
      <c r="K11" s="182"/>
      <c r="L11" s="183"/>
      <c r="M11" s="183"/>
      <c r="N11" s="183"/>
      <c r="O11" s="183"/>
      <c r="P11" s="183"/>
      <c r="Q11" s="183"/>
      <c r="Y11" s="87"/>
      <c r="Z11" s="87"/>
      <c r="AA11" s="87"/>
      <c r="AB11" s="87"/>
      <c r="AC11" s="87"/>
      <c r="AD11" s="87"/>
      <c r="AE11" s="87"/>
      <c r="AF11" s="87"/>
      <c r="AG11" s="87"/>
      <c r="AH11" s="87"/>
      <c r="AI11" s="87"/>
      <c r="AJ11" s="87"/>
    </row>
    <row r="12" spans="1:36" ht="21.95" customHeight="1" thickBot="1" x14ac:dyDescent="0.3">
      <c r="A12" s="182"/>
      <c r="B12" s="190">
        <v>6</v>
      </c>
      <c r="C12" s="191" t="s">
        <v>469</v>
      </c>
      <c r="D12" s="192"/>
      <c r="E12" s="210" t="s">
        <v>699</v>
      </c>
      <c r="F12" s="210"/>
      <c r="G12" s="210"/>
      <c r="H12" s="210"/>
      <c r="I12" s="210"/>
      <c r="J12" s="182"/>
      <c r="K12" s="182"/>
      <c r="L12" s="199" t="s">
        <v>703</v>
      </c>
      <c r="M12" s="185"/>
      <c r="N12" s="185"/>
      <c r="O12" s="185"/>
      <c r="P12" s="185"/>
      <c r="Q12" s="185"/>
      <c r="Y12" s="87"/>
      <c r="Z12" s="87"/>
      <c r="AA12" s="87"/>
      <c r="AB12" s="87"/>
      <c r="AC12" s="87"/>
      <c r="AD12" s="87"/>
      <c r="AE12" s="87"/>
      <c r="AF12" s="87"/>
      <c r="AG12" s="87"/>
      <c r="AH12" s="87"/>
      <c r="AI12" s="87"/>
      <c r="AJ12" s="87"/>
    </row>
    <row r="13" spans="1:36" ht="21.95" customHeight="1" x14ac:dyDescent="0.25">
      <c r="A13" s="182"/>
      <c r="B13" s="195">
        <v>7</v>
      </c>
      <c r="C13" s="196" t="s">
        <v>376</v>
      </c>
      <c r="D13" s="182"/>
      <c r="E13" s="208" t="s">
        <v>700</v>
      </c>
      <c r="F13" s="208"/>
      <c r="G13" s="208"/>
      <c r="H13" s="208"/>
      <c r="I13" s="208"/>
      <c r="J13" s="182"/>
      <c r="K13" s="182"/>
      <c r="L13" s="200">
        <v>123</v>
      </c>
      <c r="M13" s="182"/>
      <c r="N13" s="217" t="s">
        <v>704</v>
      </c>
      <c r="O13" s="217"/>
      <c r="P13" s="217"/>
      <c r="Q13" s="217"/>
      <c r="Y13" s="87"/>
      <c r="Z13" s="87"/>
      <c r="AA13" s="87"/>
      <c r="AB13" s="87"/>
      <c r="AC13" s="87"/>
      <c r="AD13" s="87"/>
      <c r="AE13" s="87"/>
      <c r="AF13" s="87"/>
      <c r="AG13" s="87"/>
      <c r="AH13" s="87"/>
      <c r="AI13" s="87"/>
      <c r="AJ13" s="87"/>
    </row>
    <row r="14" spans="1:36" ht="21.95" customHeight="1" x14ac:dyDescent="0.25">
      <c r="A14" s="182"/>
      <c r="B14" s="190">
        <v>8</v>
      </c>
      <c r="C14" s="191" t="s">
        <v>6</v>
      </c>
      <c r="D14" s="192"/>
      <c r="E14" s="210" t="s">
        <v>701</v>
      </c>
      <c r="F14" s="210"/>
      <c r="G14" s="210"/>
      <c r="H14" s="210"/>
      <c r="I14" s="210"/>
      <c r="J14" s="182"/>
      <c r="K14" s="182"/>
      <c r="L14" s="201">
        <v>123</v>
      </c>
      <c r="M14" s="192"/>
      <c r="N14" s="210" t="s">
        <v>705</v>
      </c>
      <c r="O14" s="210"/>
      <c r="P14" s="210"/>
      <c r="Q14" s="210"/>
      <c r="Y14" s="87"/>
      <c r="Z14" s="87"/>
      <c r="AA14" s="87"/>
      <c r="AB14" s="87"/>
      <c r="AC14" s="87"/>
      <c r="AD14" s="87"/>
      <c r="AE14" s="87"/>
      <c r="AF14" s="87"/>
      <c r="AG14" s="87"/>
      <c r="AH14" s="87"/>
      <c r="AI14" s="87"/>
      <c r="AJ14" s="87"/>
    </row>
    <row r="15" spans="1:36" ht="21.95" customHeight="1" x14ac:dyDescent="0.25">
      <c r="A15" s="182"/>
      <c r="B15" s="202">
        <v>9</v>
      </c>
      <c r="C15" s="203" t="s">
        <v>9</v>
      </c>
      <c r="D15" s="204"/>
      <c r="E15" s="216" t="s">
        <v>702</v>
      </c>
      <c r="F15" s="216"/>
      <c r="G15" s="216"/>
      <c r="H15" s="216"/>
      <c r="I15" s="216"/>
      <c r="J15" s="182"/>
      <c r="K15" s="182"/>
      <c r="L15" s="205">
        <v>123</v>
      </c>
      <c r="M15" s="182"/>
      <c r="N15" s="208" t="s">
        <v>706</v>
      </c>
      <c r="O15" s="208"/>
      <c r="P15" s="208"/>
      <c r="Q15" s="208"/>
      <c r="Y15" s="87"/>
      <c r="Z15" s="87"/>
      <c r="AA15" s="87"/>
      <c r="AB15" s="87"/>
      <c r="AC15" s="87"/>
      <c r="AD15" s="87"/>
      <c r="AE15" s="87"/>
      <c r="AF15" s="87"/>
      <c r="AG15" s="87"/>
      <c r="AH15" s="87"/>
      <c r="AI15" s="87"/>
      <c r="AJ15" s="87"/>
    </row>
    <row r="16" spans="1:36" ht="21.95" customHeight="1" x14ac:dyDescent="0.25">
      <c r="A16" s="182"/>
      <c r="B16" s="86"/>
      <c r="C16" s="86"/>
      <c r="D16" s="86"/>
      <c r="E16" s="86"/>
      <c r="F16" s="88"/>
      <c r="G16" s="88"/>
      <c r="H16" s="88"/>
      <c r="I16" s="88"/>
      <c r="J16" s="182"/>
      <c r="K16" s="182"/>
      <c r="L16" s="206">
        <v>123</v>
      </c>
      <c r="M16" s="192"/>
      <c r="N16" s="210" t="s">
        <v>707</v>
      </c>
      <c r="O16" s="210"/>
      <c r="P16" s="210"/>
      <c r="Q16" s="210"/>
      <c r="Y16" s="87"/>
      <c r="Z16" s="87"/>
      <c r="AA16" s="87"/>
      <c r="AB16" s="87"/>
      <c r="AC16" s="87"/>
      <c r="AD16" s="87"/>
      <c r="AE16" s="87"/>
      <c r="AF16" s="87"/>
      <c r="AG16" s="87"/>
      <c r="AH16" s="87"/>
      <c r="AI16" s="87"/>
      <c r="AJ16" s="87"/>
    </row>
    <row r="17" spans="1:36" ht="21.95" customHeight="1" thickBot="1" x14ac:dyDescent="0.3">
      <c r="A17" s="182"/>
      <c r="B17" s="6"/>
      <c r="C17" s="6"/>
      <c r="D17" s="6"/>
      <c r="E17" s="6"/>
      <c r="F17" s="6"/>
      <c r="G17" s="6"/>
      <c r="H17" s="6"/>
      <c r="I17" s="6"/>
      <c r="J17" s="182"/>
      <c r="K17" s="182"/>
      <c r="L17" s="207">
        <v>123</v>
      </c>
      <c r="M17" s="204"/>
      <c r="N17" s="216" t="s">
        <v>708</v>
      </c>
      <c r="O17" s="216"/>
      <c r="P17" s="216"/>
      <c r="Q17" s="216"/>
      <c r="Y17" s="87"/>
      <c r="Z17" s="87"/>
      <c r="AA17" s="87"/>
      <c r="AB17" s="87"/>
      <c r="AC17" s="87"/>
      <c r="AD17" s="87"/>
      <c r="AE17" s="87"/>
      <c r="AF17" s="87"/>
      <c r="AG17" s="87"/>
      <c r="AH17" s="87"/>
      <c r="AI17" s="87"/>
      <c r="AJ17" s="87"/>
    </row>
    <row r="18" spans="1:36" ht="15" customHeight="1" x14ac:dyDescent="0.25">
      <c r="A18" s="182"/>
      <c r="M18" s="87"/>
      <c r="Y18" s="87"/>
      <c r="Z18" s="87"/>
      <c r="AA18" s="87"/>
      <c r="AB18" s="87"/>
      <c r="AC18" s="87"/>
      <c r="AD18" s="87"/>
      <c r="AE18" s="87"/>
      <c r="AF18" s="87"/>
      <c r="AG18" s="87"/>
      <c r="AH18" s="87"/>
      <c r="AI18" s="87"/>
      <c r="AJ18" s="87"/>
    </row>
    <row r="19" spans="1:36" ht="14.25" customHeight="1" x14ac:dyDescent="0.25">
      <c r="A19" s="182"/>
    </row>
    <row r="20" spans="1:36" ht="14.25" customHeight="1" x14ac:dyDescent="0.25">
      <c r="Q20" s="5"/>
    </row>
    <row r="21" spans="1:36" ht="14.25" customHeight="1" x14ac:dyDescent="0.25"/>
    <row r="22" spans="1:36" ht="14.25" customHeight="1" x14ac:dyDescent="0.25"/>
    <row r="23" spans="1:36" ht="14.25" customHeight="1" x14ac:dyDescent="0.25"/>
    <row r="24" spans="1:36" ht="14.25" customHeight="1" x14ac:dyDescent="0.25"/>
    <row r="25" spans="1:36" ht="14.25" customHeight="1" x14ac:dyDescent="0.25"/>
    <row r="26" spans="1:36" ht="14.25" customHeight="1" x14ac:dyDescent="0.25"/>
    <row r="27" spans="1:36" ht="14.25" customHeight="1" x14ac:dyDescent="0.25"/>
    <row r="28" spans="1:36" ht="14.25" customHeight="1" x14ac:dyDescent="0.25"/>
    <row r="29" spans="1:36" ht="14.25" customHeight="1" x14ac:dyDescent="0.25"/>
    <row r="30" spans="1:36" ht="14.25" customHeight="1" x14ac:dyDescent="0.25"/>
    <row r="31" spans="1:36" ht="14.25" customHeight="1" x14ac:dyDescent="0.25"/>
    <row r="32" spans="1:36" ht="14.25" customHeight="1" x14ac:dyDescent="0.25"/>
    <row r="33" ht="14.25" customHeight="1" x14ac:dyDescent="0.25"/>
    <row r="34" ht="14.25" customHeight="1" x14ac:dyDescent="0.25"/>
    <row r="35" ht="14.25" customHeight="1" x14ac:dyDescent="0.25"/>
    <row r="36" ht="14.25" customHeight="1" x14ac:dyDescent="0.25"/>
    <row r="37" ht="14.25" customHeight="1" x14ac:dyDescent="0.25"/>
    <row r="38" ht="14.25" customHeight="1" x14ac:dyDescent="0.25"/>
    <row r="39" ht="14.25" customHeight="1" x14ac:dyDescent="0.25"/>
    <row r="40" ht="14.25" customHeight="1" x14ac:dyDescent="0.25"/>
    <row r="41" ht="14.25" customHeight="1" x14ac:dyDescent="0.25"/>
    <row r="42" ht="14.25" customHeight="1" x14ac:dyDescent="0.25"/>
    <row r="43" ht="14.25" customHeight="1" x14ac:dyDescent="0.25"/>
    <row r="44" ht="14.25" customHeight="1" x14ac:dyDescent="0.25"/>
    <row r="45" ht="14.25" customHeight="1" x14ac:dyDescent="0.25"/>
    <row r="46" ht="14.25" customHeight="1" x14ac:dyDescent="0.25"/>
    <row r="47" ht="14.25" customHeight="1" x14ac:dyDescent="0.25"/>
    <row r="48" ht="14.25" customHeight="1" x14ac:dyDescent="0.25"/>
    <row r="49" ht="14.25" customHeight="1" x14ac:dyDescent="0.25"/>
    <row r="50" ht="14.25" customHeight="1" x14ac:dyDescent="0.25"/>
    <row r="51" ht="14.25" customHeight="1" x14ac:dyDescent="0.25"/>
    <row r="52" ht="14.25" customHeight="1" x14ac:dyDescent="0.25"/>
    <row r="53" ht="14.25" customHeight="1" x14ac:dyDescent="0.25"/>
    <row r="54" ht="14.25" customHeight="1" x14ac:dyDescent="0.25"/>
    <row r="55" ht="14.25" customHeight="1" x14ac:dyDescent="0.25"/>
    <row r="56" ht="14.25" customHeight="1" x14ac:dyDescent="0.25"/>
    <row r="57" ht="14.25" customHeight="1" x14ac:dyDescent="0.25"/>
    <row r="58" ht="14.25" customHeight="1" x14ac:dyDescent="0.25"/>
    <row r="59" ht="14.25" customHeight="1" x14ac:dyDescent="0.25"/>
    <row r="60" ht="14.25" customHeight="1" x14ac:dyDescent="0.25"/>
    <row r="61" ht="14.25" customHeight="1" x14ac:dyDescent="0.25"/>
    <row r="62" ht="14.25" customHeight="1" x14ac:dyDescent="0.25"/>
    <row r="63" ht="14.25" customHeight="1" x14ac:dyDescent="0.25"/>
    <row r="64" ht="14.25" customHeight="1" x14ac:dyDescent="0.25"/>
    <row r="65" ht="14.25" customHeight="1" x14ac:dyDescent="0.25"/>
    <row r="66" ht="14.25" customHeight="1" x14ac:dyDescent="0.25"/>
    <row r="67" ht="14.25" customHeight="1" x14ac:dyDescent="0.25"/>
    <row r="68" ht="14.25" customHeight="1" x14ac:dyDescent="0.25"/>
    <row r="69" ht="14.25" customHeight="1" x14ac:dyDescent="0.25"/>
    <row r="70" ht="14.25" customHeight="1" x14ac:dyDescent="0.25"/>
    <row r="71" ht="14.25" customHeight="1" x14ac:dyDescent="0.25"/>
    <row r="72" ht="14.25" customHeight="1" x14ac:dyDescent="0.25"/>
    <row r="73" ht="14.25" customHeight="1" x14ac:dyDescent="0.25"/>
    <row r="74" ht="14.25" customHeight="1" x14ac:dyDescent="0.25"/>
    <row r="75" ht="14.25" customHeight="1" x14ac:dyDescent="0.25"/>
    <row r="76" ht="14.25" customHeight="1" x14ac:dyDescent="0.25"/>
    <row r="77" ht="14.25" customHeight="1" x14ac:dyDescent="0.25"/>
    <row r="78" ht="14.25" customHeight="1" x14ac:dyDescent="0.25"/>
    <row r="79" ht="14.25" customHeight="1" x14ac:dyDescent="0.25"/>
    <row r="80" ht="14.25" customHeight="1" x14ac:dyDescent="0.25"/>
    <row r="81" ht="14.25" customHeight="1" x14ac:dyDescent="0.25"/>
    <row r="82" ht="14.25" customHeight="1" x14ac:dyDescent="0.25"/>
    <row r="83" ht="14.25" customHeight="1" x14ac:dyDescent="0.25"/>
    <row r="84" ht="14.25" customHeight="1" x14ac:dyDescent="0.25"/>
    <row r="85" ht="14.25" customHeight="1" x14ac:dyDescent="0.25"/>
    <row r="86" ht="14.25" customHeight="1" x14ac:dyDescent="0.25"/>
    <row r="87" ht="14.25" customHeight="1" x14ac:dyDescent="0.25"/>
    <row r="88" ht="14.25" customHeight="1" x14ac:dyDescent="0.25"/>
    <row r="89" ht="14.25" customHeight="1" x14ac:dyDescent="0.25"/>
    <row r="90" ht="14.25" customHeight="1" x14ac:dyDescent="0.25"/>
    <row r="91" ht="14.25" customHeight="1" x14ac:dyDescent="0.25"/>
    <row r="92" ht="14.25" customHeight="1" x14ac:dyDescent="0.25"/>
    <row r="93" ht="14.25" customHeight="1" x14ac:dyDescent="0.25"/>
    <row r="94" ht="14.25" customHeight="1" x14ac:dyDescent="0.25"/>
    <row r="95" ht="14.25" customHeight="1" x14ac:dyDescent="0.25"/>
    <row r="96"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row r="298" ht="14.25" customHeight="1" x14ac:dyDescent="0.25"/>
    <row r="299" ht="14.25" customHeight="1" x14ac:dyDescent="0.25"/>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row r="998" ht="14.25" customHeight="1" x14ac:dyDescent="0.25"/>
    <row r="999" ht="14.25" customHeight="1" x14ac:dyDescent="0.25"/>
    <row r="1000" ht="14.25" customHeight="1" x14ac:dyDescent="0.25"/>
  </sheetData>
  <mergeCells count="24">
    <mergeCell ref="N16:Q16"/>
    <mergeCell ref="N17:Q17"/>
    <mergeCell ref="N8:Q8"/>
    <mergeCell ref="N9:Q9"/>
    <mergeCell ref="L4:P4"/>
    <mergeCell ref="N5:Q5"/>
    <mergeCell ref="N6:Q6"/>
    <mergeCell ref="N7:Q7"/>
    <mergeCell ref="N10:Q10"/>
    <mergeCell ref="E14:I14"/>
    <mergeCell ref="E15:I15"/>
    <mergeCell ref="N13:Q13"/>
    <mergeCell ref="N14:Q14"/>
    <mergeCell ref="N15:Q15"/>
    <mergeCell ref="A1:Q1"/>
    <mergeCell ref="A2:Q2"/>
    <mergeCell ref="E6:I6"/>
    <mergeCell ref="E7:I7"/>
    <mergeCell ref="E8:I8"/>
    <mergeCell ref="E9:I9"/>
    <mergeCell ref="E10:I10"/>
    <mergeCell ref="E11:I11"/>
    <mergeCell ref="E12:I12"/>
    <mergeCell ref="E13:I13"/>
  </mergeCells>
  <pageMargins left="0.7" right="0.7" top="0.75" bottom="0.75" header="0" footer="0"/>
  <pageSetup paperSize="9" orientation="landscape" r:id="rId1"/>
  <headerFooter>
    <oddHeader>&amp;R&amp;F  &amp;A</oddHeader>
    <oddFooter>&amp;L© 2017&amp;CPage &amp;P of</oddFooter>
  </headerFooter>
  <colBreaks count="1" manualBreakCount="1">
    <brk id="18" man="1"/>
  </colBreak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8" tint="0.39997558519241921"/>
    <pageSetUpPr fitToPage="1"/>
  </sheetPr>
  <dimension ref="A1:Q141"/>
  <sheetViews>
    <sheetView zoomScaleNormal="100" zoomScaleSheetLayoutView="85" workbookViewId="0">
      <pane xSplit="2" ySplit="3" topLeftCell="C4" activePane="bottomRight" state="frozen"/>
      <selection pane="topRight"/>
      <selection pane="bottomLeft"/>
      <selection pane="bottomRight" activeCell="C4" sqref="C4"/>
    </sheetView>
  </sheetViews>
  <sheetFormatPr defaultColWidth="12.5703125" defaultRowHeight="15" customHeight="1" x14ac:dyDescent="0.25"/>
  <cols>
    <col min="1" max="1" width="1.5703125" customWidth="1"/>
    <col min="2" max="2" width="40.5703125" customWidth="1"/>
    <col min="3" max="16" width="10.28515625" customWidth="1"/>
    <col min="17" max="17" width="47.28515625" bestFit="1" customWidth="1"/>
  </cols>
  <sheetData>
    <row r="1" spans="1:17" ht="30" customHeight="1" x14ac:dyDescent="0.45">
      <c r="A1" s="253" t="str">
        <f>"Financial forecast for "&amp;Info!N5</f>
        <v>Financial forecast for Red Bull</v>
      </c>
      <c r="B1" s="180"/>
      <c r="C1" s="72"/>
      <c r="D1" s="72"/>
      <c r="E1" s="72"/>
      <c r="F1" s="72"/>
      <c r="G1" s="72"/>
      <c r="H1" s="72"/>
      <c r="I1" s="72"/>
      <c r="J1" s="72"/>
      <c r="K1" s="72"/>
      <c r="L1" s="72"/>
      <c r="M1" s="72"/>
      <c r="N1" s="72"/>
      <c r="O1" s="72"/>
      <c r="P1" s="72"/>
      <c r="Q1" s="12"/>
    </row>
    <row r="2" spans="1:17" ht="15" customHeight="1" x14ac:dyDescent="0.3">
      <c r="A2" s="254"/>
      <c r="B2" s="254"/>
      <c r="C2" s="254" t="s">
        <v>39</v>
      </c>
      <c r="D2" s="254" t="s">
        <v>39</v>
      </c>
      <c r="E2" s="254" t="s">
        <v>39</v>
      </c>
      <c r="F2" s="254" t="s">
        <v>39</v>
      </c>
      <c r="G2" s="254" t="s">
        <v>709</v>
      </c>
      <c r="H2" s="254" t="s">
        <v>709</v>
      </c>
      <c r="I2" s="254" t="s">
        <v>40</v>
      </c>
      <c r="J2" s="254" t="s">
        <v>40</v>
      </c>
      <c r="K2" s="254" t="s">
        <v>40</v>
      </c>
      <c r="L2" s="254" t="s">
        <v>40</v>
      </c>
      <c r="M2" s="254" t="s">
        <v>40</v>
      </c>
      <c r="N2" s="254" t="s">
        <v>40</v>
      </c>
      <c r="O2" s="254" t="s">
        <v>40</v>
      </c>
      <c r="P2" s="254" t="s">
        <v>40</v>
      </c>
      <c r="Q2" s="13"/>
    </row>
    <row r="3" spans="1:17" ht="15" customHeight="1" x14ac:dyDescent="0.25">
      <c r="A3" s="254"/>
      <c r="B3" s="254"/>
      <c r="C3" s="255">
        <f>EDATE(D3,-12)</f>
        <v>44196</v>
      </c>
      <c r="D3" s="255">
        <f>EDATE(E3,-12)</f>
        <v>44561</v>
      </c>
      <c r="E3" s="255">
        <f>EDATE(F3,-12)</f>
        <v>44926</v>
      </c>
      <c r="F3" s="255">
        <f>EDATE(G3,-12)</f>
        <v>45291</v>
      </c>
      <c r="G3" s="255">
        <f>EDATE(H3,-12)</f>
        <v>45657</v>
      </c>
      <c r="H3" s="255">
        <v>46022</v>
      </c>
      <c r="I3" s="255">
        <f t="shared" ref="G3:P3" si="0">EDATE(H3,12)</f>
        <v>46387</v>
      </c>
      <c r="J3" s="255">
        <f t="shared" si="0"/>
        <v>46752</v>
      </c>
      <c r="K3" s="255">
        <f t="shared" si="0"/>
        <v>47118</v>
      </c>
      <c r="L3" s="255">
        <f t="shared" si="0"/>
        <v>47483</v>
      </c>
      <c r="M3" s="255">
        <f t="shared" si="0"/>
        <v>47848</v>
      </c>
      <c r="N3" s="255">
        <f t="shared" si="0"/>
        <v>48213</v>
      </c>
      <c r="O3" s="255">
        <f t="shared" si="0"/>
        <v>48579</v>
      </c>
      <c r="P3" s="255">
        <f t="shared" si="0"/>
        <v>48944</v>
      </c>
    </row>
    <row r="4" spans="1:17" ht="15" customHeight="1" x14ac:dyDescent="0.25">
      <c r="A4" s="73"/>
      <c r="B4" t="s">
        <v>41</v>
      </c>
    </row>
    <row r="5" spans="1:17" ht="15" customHeight="1" x14ac:dyDescent="0.25">
      <c r="A5" s="73"/>
      <c r="C5" s="2"/>
      <c r="D5" s="2"/>
      <c r="E5" s="2"/>
      <c r="F5" s="2"/>
      <c r="G5" s="2"/>
      <c r="H5" s="2"/>
      <c r="J5" s="2"/>
      <c r="K5" s="150"/>
      <c r="L5" s="150"/>
      <c r="M5" s="2"/>
      <c r="N5" s="63"/>
      <c r="O5" s="2"/>
      <c r="P5" s="2"/>
      <c r="Q5" s="2"/>
    </row>
    <row r="6" spans="1:17" ht="15" customHeight="1" x14ac:dyDescent="0.25">
      <c r="A6" s="73" t="s">
        <v>42</v>
      </c>
      <c r="N6" s="63"/>
    </row>
    <row r="7" spans="1:17" ht="15" customHeight="1" x14ac:dyDescent="0.25">
      <c r="A7" s="73"/>
    </row>
    <row r="8" spans="1:17" ht="15" customHeight="1" x14ac:dyDescent="0.25">
      <c r="A8" s="73"/>
      <c r="B8" t="s">
        <v>43</v>
      </c>
      <c r="D8" s="227">
        <f t="shared" ref="D8:F12" si="1">D50/C50-1</f>
        <v>0.25744368615652413</v>
      </c>
      <c r="E8" s="227">
        <f t="shared" si="1"/>
        <v>0.24401562062094317</v>
      </c>
      <c r="F8" s="227">
        <f t="shared" si="1"/>
        <v>9.0999999439063339E-2</v>
      </c>
      <c r="G8" s="63">
        <f t="shared" ref="G8:H11" si="2">G50/F50-1</f>
        <v>6.3768479362581898E-2</v>
      </c>
      <c r="H8" s="63">
        <f t="shared" si="2"/>
        <v>8.630978890175478E-2</v>
      </c>
      <c r="I8" s="65">
        <v>8.5000000000000006E-2</v>
      </c>
      <c r="J8" s="65">
        <v>0.08</v>
      </c>
      <c r="K8" s="65">
        <v>7.4999999999999997E-2</v>
      </c>
      <c r="L8" s="65">
        <v>7.0000000000000007E-2</v>
      </c>
      <c r="M8" s="65">
        <v>6.5000000000000002E-2</v>
      </c>
      <c r="N8" s="65">
        <v>0.05</v>
      </c>
      <c r="O8" s="65">
        <v>0.03</v>
      </c>
      <c r="P8" s="65">
        <v>2.5999999999999999E-2</v>
      </c>
    </row>
    <row r="9" spans="1:17" ht="15" customHeight="1" x14ac:dyDescent="0.25">
      <c r="A9" s="73"/>
      <c r="B9" t="s">
        <v>44</v>
      </c>
      <c r="D9" s="227">
        <f t="shared" si="1"/>
        <v>0.21666170262245132</v>
      </c>
      <c r="E9" s="227">
        <f t="shared" si="1"/>
        <v>0.17871360203022491</v>
      </c>
      <c r="F9" s="227">
        <f t="shared" si="1"/>
        <v>6.5999998867431353E-2</v>
      </c>
      <c r="G9" s="63">
        <f t="shared" si="2"/>
        <v>6.3768479362581898E-2</v>
      </c>
      <c r="H9" s="63">
        <f t="shared" si="2"/>
        <v>8.630978890175478E-2</v>
      </c>
      <c r="I9" s="65">
        <v>7.4999999999999997E-2</v>
      </c>
      <c r="J9" s="65">
        <v>7.4999999999999997E-2</v>
      </c>
      <c r="K9" s="65">
        <v>7.0000000000000007E-2</v>
      </c>
      <c r="L9" s="65">
        <v>7.0000000000000007E-2</v>
      </c>
      <c r="M9" s="65">
        <v>6.5000000000000002E-2</v>
      </c>
      <c r="N9" s="65">
        <v>0.05</v>
      </c>
      <c r="O9" s="65">
        <v>0.03</v>
      </c>
      <c r="P9" s="65">
        <v>2.5999999999999999E-2</v>
      </c>
    </row>
    <row r="10" spans="1:17" ht="15" customHeight="1" x14ac:dyDescent="0.25">
      <c r="A10" s="73"/>
      <c r="B10" t="s">
        <v>45</v>
      </c>
      <c r="D10" s="227">
        <f t="shared" si="1"/>
        <v>0.37622811563360337</v>
      </c>
      <c r="E10" s="227">
        <f t="shared" si="1"/>
        <v>0.68187426305295396</v>
      </c>
      <c r="F10" s="227">
        <f t="shared" si="1"/>
        <v>0.21999998861639125</v>
      </c>
      <c r="G10" s="63">
        <f t="shared" si="2"/>
        <v>6.3768479362581676E-2</v>
      </c>
      <c r="H10" s="63">
        <f t="shared" si="2"/>
        <v>8.630978890175478E-2</v>
      </c>
      <c r="I10" s="65">
        <v>0.15</v>
      </c>
      <c r="J10" s="65">
        <v>0.13</v>
      </c>
      <c r="K10" s="65">
        <v>0.11</v>
      </c>
      <c r="L10" s="65">
        <v>0.1</v>
      </c>
      <c r="M10" s="65">
        <v>0.08</v>
      </c>
      <c r="N10" s="65">
        <v>7.0000000000000007E-2</v>
      </c>
      <c r="O10" s="65">
        <v>0.05</v>
      </c>
      <c r="P10" s="65">
        <v>2.5999999999999999E-2</v>
      </c>
    </row>
    <row r="11" spans="1:17" ht="15" customHeight="1" x14ac:dyDescent="0.25">
      <c r="A11" s="73"/>
      <c r="B11" t="s">
        <v>46</v>
      </c>
      <c r="D11" s="227">
        <f t="shared" si="1"/>
        <v>0.21058520558749927</v>
      </c>
      <c r="E11" s="227">
        <f t="shared" si="1"/>
        <v>0.23555448958253344</v>
      </c>
      <c r="F11" s="227">
        <f t="shared" si="1"/>
        <v>8.4999995710717702E-2</v>
      </c>
      <c r="G11" s="63">
        <f t="shared" si="2"/>
        <v>6.3768479362581898E-2</v>
      </c>
      <c r="H11" s="63">
        <f t="shared" si="2"/>
        <v>8.630978890175478E-2</v>
      </c>
      <c r="I11" s="65">
        <v>8.5000000000000006E-2</v>
      </c>
      <c r="J11" s="65">
        <v>8.2000000000000003E-2</v>
      </c>
      <c r="K11" s="65">
        <v>0.08</v>
      </c>
      <c r="L11" s="65">
        <v>0.08</v>
      </c>
      <c r="M11" s="65">
        <v>7.0000000000000007E-2</v>
      </c>
      <c r="N11" s="65">
        <v>5.5E-2</v>
      </c>
      <c r="O11" s="65">
        <v>3.5000000000000003E-2</v>
      </c>
      <c r="P11" s="65">
        <v>2.5999999999999999E-2</v>
      </c>
    </row>
    <row r="12" spans="1:17" ht="15" customHeight="1" x14ac:dyDescent="0.25">
      <c r="A12" s="73"/>
      <c r="B12" t="s">
        <v>47</v>
      </c>
      <c r="D12" s="227">
        <f>D54/C54-1</f>
        <v>0.23914094359411786</v>
      </c>
      <c r="E12" s="227">
        <f t="shared" si="1"/>
        <v>0.23908278458899002</v>
      </c>
      <c r="F12" s="227">
        <f>F54/E54-1</f>
        <v>8.9813769866666782E-2</v>
      </c>
      <c r="G12" s="63">
        <f t="shared" ref="G12:P12" si="3">G54/F54-1</f>
        <v>6.3768479362581676E-2</v>
      </c>
      <c r="H12" s="63">
        <f t="shared" si="3"/>
        <v>8.630978890175478E-2</v>
      </c>
      <c r="I12" s="63">
        <f t="shared" si="3"/>
        <v>8.6622266582367047E-2</v>
      </c>
      <c r="J12" s="63">
        <f t="shared" si="3"/>
        <v>8.2925779151359791E-2</v>
      </c>
      <c r="K12" s="63">
        <f t="shared" si="3"/>
        <v>7.6975775216518327E-2</v>
      </c>
      <c r="L12" s="63">
        <f t="shared" si="3"/>
        <v>7.4251232335713846E-2</v>
      </c>
      <c r="M12" s="63">
        <f t="shared" si="3"/>
        <v>6.7166040631373658E-2</v>
      </c>
      <c r="N12" s="63">
        <f t="shared" si="3"/>
        <v>5.2725741545683658E-2</v>
      </c>
      <c r="O12" s="63">
        <f t="shared" si="3"/>
        <v>3.2762349060186713E-2</v>
      </c>
      <c r="P12" s="63">
        <f t="shared" si="3"/>
        <v>2.5999999999999801E-2</v>
      </c>
    </row>
    <row r="13" spans="1:17" ht="15" customHeight="1" x14ac:dyDescent="0.25">
      <c r="A13" s="73"/>
      <c r="B13" t="s">
        <v>48</v>
      </c>
      <c r="D13" s="63"/>
      <c r="E13" s="63"/>
      <c r="F13" s="63"/>
      <c r="G13" s="177"/>
      <c r="H13" s="177"/>
      <c r="I13" s="63"/>
      <c r="J13" s="63"/>
      <c r="K13" s="63"/>
      <c r="L13" s="63"/>
      <c r="M13" s="63">
        <f>(M54/H54)^(1/COLUMNS(I54:M54))-1</f>
        <v>7.7566836283268659E-2</v>
      </c>
      <c r="N13" s="63"/>
      <c r="O13" s="63"/>
      <c r="P13" s="63"/>
    </row>
    <row r="14" spans="1:17" ht="15" customHeight="1" x14ac:dyDescent="0.25">
      <c r="A14" s="73"/>
      <c r="B14" t="s">
        <v>49</v>
      </c>
      <c r="C14" s="227">
        <f>-C55/C54</f>
        <v>0.27524088401530022</v>
      </c>
      <c r="D14" s="227">
        <f>-D55/D54</f>
        <v>0.28381392182734361</v>
      </c>
      <c r="E14" s="227">
        <f t="shared" ref="E14:H14" si="4">-E55/E54</f>
        <v>0.33654389988617955</v>
      </c>
      <c r="F14" s="227">
        <f t="shared" si="4"/>
        <v>0.32733715038579042</v>
      </c>
      <c r="G14" s="177">
        <f t="shared" si="4"/>
        <v>0.32733715038579042</v>
      </c>
      <c r="H14" s="177">
        <f t="shared" si="4"/>
        <v>0.32733715038579042</v>
      </c>
      <c r="I14" s="44">
        <v>0.32</v>
      </c>
      <c r="J14" s="44">
        <v>0.315</v>
      </c>
      <c r="K14" s="44">
        <v>0.31</v>
      </c>
      <c r="L14" s="44">
        <v>0.31</v>
      </c>
      <c r="M14" s="44">
        <v>0.31</v>
      </c>
      <c r="N14" s="44">
        <v>0.31</v>
      </c>
      <c r="O14" s="44">
        <v>0.31</v>
      </c>
      <c r="P14" s="44">
        <v>0.31</v>
      </c>
    </row>
    <row r="15" spans="1:17" ht="15" customHeight="1" x14ac:dyDescent="0.25">
      <c r="A15" s="73"/>
      <c r="B15" t="s">
        <v>50</v>
      </c>
      <c r="C15" s="227">
        <f>-C58/C54</f>
        <v>0.1600442199627734</v>
      </c>
      <c r="D15" s="227">
        <f>-D58/D54</f>
        <v>0.15133323320755973</v>
      </c>
      <c r="E15" s="227">
        <f t="shared" ref="E15:F15" si="5">-E58/E54</f>
        <v>0.14988936715389617</v>
      </c>
      <c r="F15" s="227">
        <f t="shared" si="5"/>
        <v>0.14578888024379472</v>
      </c>
      <c r="G15" s="11">
        <v>0.14499999999999999</v>
      </c>
      <c r="H15" s="11">
        <v>0.14299999999999999</v>
      </c>
      <c r="I15" s="44">
        <v>0.14199999999999999</v>
      </c>
      <c r="J15" s="44">
        <v>0.14000000000000001</v>
      </c>
      <c r="K15" s="44">
        <v>0.13800000000000001</v>
      </c>
      <c r="L15" s="44">
        <v>0.13800000000000001</v>
      </c>
      <c r="M15" s="44">
        <v>0.13800000000000001</v>
      </c>
      <c r="N15" s="44">
        <v>0.13800000000000001</v>
      </c>
      <c r="O15" s="44">
        <v>0.13800000000000001</v>
      </c>
      <c r="P15" s="44">
        <v>0.13800000000000001</v>
      </c>
    </row>
    <row r="16" spans="1:17" ht="15" customHeight="1" x14ac:dyDescent="0.25">
      <c r="A16" s="73"/>
      <c r="B16" t="s">
        <v>51</v>
      </c>
      <c r="C16" s="227">
        <f>-C59/C54</f>
        <v>0.25769865340033049</v>
      </c>
      <c r="D16" s="227">
        <f t="shared" ref="D16:F16" si="6">-D59/D54</f>
        <v>0.23826758351083696</v>
      </c>
      <c r="E16" s="227">
        <f t="shared" si="6"/>
        <v>0.23638672789233631</v>
      </c>
      <c r="F16" s="227">
        <f t="shared" si="6"/>
        <v>0.22991995375185292</v>
      </c>
      <c r="G16" s="11">
        <v>0.22700000000000001</v>
      </c>
      <c r="H16" s="11">
        <v>0.22500000000000001</v>
      </c>
      <c r="I16" s="44">
        <v>0.223</v>
      </c>
      <c r="J16" s="44">
        <v>0.22</v>
      </c>
      <c r="K16" s="44">
        <v>0.218</v>
      </c>
      <c r="L16" s="44">
        <v>0.218</v>
      </c>
      <c r="M16" s="44">
        <v>0.218</v>
      </c>
      <c r="N16" s="44">
        <v>0.218</v>
      </c>
      <c r="O16" s="44">
        <v>0.218</v>
      </c>
      <c r="P16" s="44">
        <v>0.218</v>
      </c>
    </row>
    <row r="17" spans="1:16" ht="15" customHeight="1" x14ac:dyDescent="0.25">
      <c r="A17" s="73"/>
      <c r="B17" t="s">
        <v>52</v>
      </c>
      <c r="D17" s="227">
        <f>-D62/C80</f>
        <v>0.17934716446750587</v>
      </c>
      <c r="E17" s="227">
        <f>-E62/D80</f>
        <v>0.20397502394603909</v>
      </c>
      <c r="F17" s="227">
        <f>-F62/E80</f>
        <v>0.17411862905306766</v>
      </c>
      <c r="G17" s="11">
        <v>0.17</v>
      </c>
      <c r="H17" s="11">
        <v>0.17</v>
      </c>
      <c r="I17" s="44">
        <v>0.17</v>
      </c>
      <c r="J17" s="44">
        <v>0.17</v>
      </c>
      <c r="K17" s="44">
        <v>0.17</v>
      </c>
      <c r="L17" s="44">
        <v>0.16</v>
      </c>
      <c r="M17" s="44">
        <v>0.16</v>
      </c>
      <c r="N17" s="44">
        <v>0.16</v>
      </c>
      <c r="O17" s="44">
        <v>0.16</v>
      </c>
      <c r="P17" s="44">
        <v>0.16</v>
      </c>
    </row>
    <row r="18" spans="1:16" ht="15" customHeight="1" x14ac:dyDescent="0.25">
      <c r="A18" s="73"/>
      <c r="B18" t="s">
        <v>53</v>
      </c>
      <c r="C18" s="52">
        <f>C67</f>
        <v>7.6356351500000006</v>
      </c>
      <c r="D18" s="52">
        <f>D67</f>
        <v>4.3481420000000002</v>
      </c>
      <c r="E18" s="52">
        <f>E67</f>
        <v>7.2397410000000004</v>
      </c>
      <c r="F18" s="52">
        <f>F67</f>
        <v>7</v>
      </c>
      <c r="G18" s="3">
        <v>7.5</v>
      </c>
      <c r="H18" s="3">
        <v>7.5</v>
      </c>
      <c r="I18" s="14">
        <v>7.5</v>
      </c>
      <c r="J18" s="14">
        <v>7.5</v>
      </c>
      <c r="K18" s="14">
        <v>7.5</v>
      </c>
      <c r="L18" s="14">
        <v>7.5</v>
      </c>
      <c r="M18" s="14">
        <v>7.5</v>
      </c>
      <c r="N18" s="14">
        <v>7.5</v>
      </c>
      <c r="O18" s="14">
        <v>7.5</v>
      </c>
      <c r="P18" s="14">
        <v>7.5</v>
      </c>
    </row>
    <row r="19" spans="1:16" ht="15" customHeight="1" x14ac:dyDescent="0.25">
      <c r="A19" s="73"/>
      <c r="B19" t="s">
        <v>54</v>
      </c>
      <c r="C19" s="227">
        <f>-C70/C68</f>
        <v>0.25736780715171709</v>
      </c>
      <c r="D19" s="227">
        <f>-D70/D68</f>
        <v>0.25534235653743953</v>
      </c>
      <c r="E19" s="227">
        <f>-E70/E68</f>
        <v>0.25835484685320387</v>
      </c>
      <c r="F19" s="227">
        <f>-F70/F68</f>
        <v>0.22162687370103795</v>
      </c>
      <c r="G19" s="11">
        <v>0.255</v>
      </c>
      <c r="H19" s="11">
        <v>0.255</v>
      </c>
      <c r="I19" s="44">
        <v>0.255</v>
      </c>
      <c r="J19" s="44">
        <v>0.255</v>
      </c>
      <c r="K19" s="44">
        <v>0.255</v>
      </c>
      <c r="L19" s="44">
        <v>0.255</v>
      </c>
      <c r="M19" s="44">
        <v>0.255</v>
      </c>
      <c r="N19" s="44">
        <v>0.255</v>
      </c>
      <c r="O19" s="44">
        <v>0.255</v>
      </c>
      <c r="P19" s="44">
        <v>0.255</v>
      </c>
    </row>
    <row r="20" spans="1:16" ht="15" customHeight="1" x14ac:dyDescent="0.25">
      <c r="A20" s="73"/>
      <c r="B20" t="s">
        <v>55</v>
      </c>
      <c r="F20" s="247">
        <v>0.24</v>
      </c>
      <c r="G20" s="11">
        <v>0.23</v>
      </c>
      <c r="H20" s="11">
        <v>0.23</v>
      </c>
      <c r="I20" s="44">
        <v>0.23</v>
      </c>
      <c r="J20" s="44">
        <v>0.23</v>
      </c>
      <c r="K20" s="44">
        <v>0.23</v>
      </c>
      <c r="L20" s="44">
        <v>0.23</v>
      </c>
      <c r="M20" s="44">
        <v>0.23</v>
      </c>
      <c r="N20" s="44">
        <v>0.23</v>
      </c>
      <c r="O20" s="44">
        <v>0.23</v>
      </c>
      <c r="P20" s="44">
        <v>0.23</v>
      </c>
    </row>
    <row r="21" spans="1:16" ht="15" customHeight="1" x14ac:dyDescent="0.25">
      <c r="A21" s="73"/>
      <c r="B21" t="s">
        <v>56</v>
      </c>
      <c r="D21" s="228">
        <f>+D45/D71*-1</f>
        <v>0.71258992933946452</v>
      </c>
      <c r="E21" s="228">
        <f>+E45/E71*-1</f>
        <v>0.87774616958434637</v>
      </c>
      <c r="F21" s="228">
        <f>+F45/F71*-1</f>
        <v>0.79125509788438997</v>
      </c>
      <c r="G21" s="11">
        <v>0.6</v>
      </c>
      <c r="H21" s="11">
        <v>0.75</v>
      </c>
      <c r="I21" s="44">
        <v>0.75</v>
      </c>
      <c r="J21" s="44">
        <v>0.75</v>
      </c>
      <c r="K21" s="44">
        <v>0.75</v>
      </c>
      <c r="L21" s="44">
        <v>0.75</v>
      </c>
      <c r="M21" s="44">
        <v>0.75</v>
      </c>
      <c r="N21" s="44">
        <v>0.75</v>
      </c>
      <c r="O21" s="44">
        <v>0.75</v>
      </c>
      <c r="P21" s="44">
        <v>0.75</v>
      </c>
    </row>
    <row r="22" spans="1:16" ht="15" customHeight="1" x14ac:dyDescent="0.25">
      <c r="A22" s="73"/>
    </row>
    <row r="23" spans="1:16" ht="15" customHeight="1" x14ac:dyDescent="0.25">
      <c r="A23" s="73"/>
      <c r="B23" t="s">
        <v>57</v>
      </c>
      <c r="C23" s="52">
        <f>+C75/C54*365</f>
        <v>39.123770395648975</v>
      </c>
      <c r="D23" s="52">
        <f>+D75/D54*365</f>
        <v>36.539803896758087</v>
      </c>
      <c r="E23" s="52">
        <f>+E75/E54*365</f>
        <v>41.077387246387772</v>
      </c>
      <c r="F23" s="52">
        <f>+F75/F54*365</f>
        <v>39.979199446178654</v>
      </c>
      <c r="G23" s="3">
        <v>40</v>
      </c>
      <c r="H23" s="3">
        <v>40</v>
      </c>
      <c r="I23" s="14">
        <v>39</v>
      </c>
      <c r="J23" s="14">
        <v>39</v>
      </c>
      <c r="K23" s="14">
        <v>39</v>
      </c>
      <c r="L23" s="14">
        <v>39</v>
      </c>
      <c r="M23" s="14">
        <v>39</v>
      </c>
      <c r="N23" s="14">
        <v>39</v>
      </c>
      <c r="O23" s="14">
        <v>39</v>
      </c>
      <c r="P23" s="14">
        <v>39</v>
      </c>
    </row>
    <row r="24" spans="1:16" ht="15" customHeight="1" x14ac:dyDescent="0.25">
      <c r="A24" s="73"/>
      <c r="B24" t="s">
        <v>36</v>
      </c>
      <c r="C24" s="52">
        <f>-C76/C55*365</f>
        <v>92.813517593453</v>
      </c>
      <c r="D24" s="52">
        <f>-D76/D55*365</f>
        <v>78.431642132746006</v>
      </c>
      <c r="E24" s="52">
        <f>-E76/E55*365</f>
        <v>104.66438596471293</v>
      </c>
      <c r="F24" s="52">
        <f>-F76/F55*365</f>
        <v>89.995044848753352</v>
      </c>
      <c r="G24" s="3">
        <v>90</v>
      </c>
      <c r="H24" s="3">
        <v>90</v>
      </c>
      <c r="I24" s="14">
        <v>89</v>
      </c>
      <c r="J24" s="14">
        <v>90</v>
      </c>
      <c r="K24" s="14">
        <v>90</v>
      </c>
      <c r="L24" s="14">
        <v>90</v>
      </c>
      <c r="M24" s="14">
        <v>90</v>
      </c>
      <c r="N24" s="14">
        <v>90</v>
      </c>
      <c r="O24" s="14">
        <v>90</v>
      </c>
      <c r="P24" s="14">
        <v>90</v>
      </c>
    </row>
    <row r="25" spans="1:16" ht="15" customHeight="1" x14ac:dyDescent="0.25">
      <c r="A25" s="73"/>
      <c r="B25" t="s">
        <v>58</v>
      </c>
      <c r="C25" s="227">
        <f>+C77/C54</f>
        <v>5.6305306885330572E-2</v>
      </c>
      <c r="D25" s="227">
        <f>+D77/D54</f>
        <v>5.1816294291752413E-2</v>
      </c>
      <c r="E25" s="227">
        <f>+E77/E54</f>
        <v>6.0473151757269673E-2</v>
      </c>
      <c r="F25" s="227">
        <f>+F77/F54</f>
        <v>5.1999300033329011E-2</v>
      </c>
      <c r="G25" s="11">
        <v>5.2999999999999999E-2</v>
      </c>
      <c r="H25" s="11">
        <v>5.2999999999999999E-2</v>
      </c>
      <c r="I25" s="44">
        <v>5.1999999999999998E-2</v>
      </c>
      <c r="J25" s="44">
        <v>5.1999999999999998E-2</v>
      </c>
      <c r="K25" s="44">
        <v>5.0999999999999997E-2</v>
      </c>
      <c r="L25" s="44">
        <v>5.0999999999999997E-2</v>
      </c>
      <c r="M25" s="44">
        <v>5.0999999999999997E-2</v>
      </c>
      <c r="N25" s="44">
        <v>5.0999999999999997E-2</v>
      </c>
      <c r="O25" s="44">
        <v>5.0999999999999997E-2</v>
      </c>
      <c r="P25" s="44">
        <v>5.0999999999999997E-2</v>
      </c>
    </row>
    <row r="26" spans="1:16" ht="15" customHeight="1" x14ac:dyDescent="0.25">
      <c r="A26" s="73"/>
      <c r="B26" t="s">
        <v>59</v>
      </c>
      <c r="C26" s="227">
        <f>C38/C54</f>
        <v>5.9327907666656424E-2</v>
      </c>
      <c r="D26" s="227">
        <f>D38/D54</f>
        <v>6.9950088631351576E-2</v>
      </c>
      <c r="E26" s="227">
        <f>E38/E54</f>
        <v>6.8288069529345269E-2</v>
      </c>
      <c r="F26" s="227">
        <f>F38/F54</f>
        <v>7.5772303638216507E-2</v>
      </c>
      <c r="G26" s="11">
        <v>6.8000000000000005E-2</v>
      </c>
      <c r="H26" s="11">
        <v>6.8000000000000005E-2</v>
      </c>
      <c r="I26" s="44">
        <v>6.8000000000000005E-2</v>
      </c>
      <c r="J26" s="44">
        <v>6.2E-2</v>
      </c>
      <c r="K26" s="44">
        <v>6.2E-2</v>
      </c>
      <c r="L26" s="44">
        <v>6.2E-2</v>
      </c>
      <c r="M26" s="44">
        <v>5.5E-2</v>
      </c>
      <c r="N26" s="44">
        <v>5.5E-2</v>
      </c>
      <c r="O26" s="44">
        <v>5.0999999999999997E-2</v>
      </c>
      <c r="P26" s="44">
        <v>5.0999999999999997E-2</v>
      </c>
    </row>
    <row r="27" spans="1:16" ht="15" customHeight="1" x14ac:dyDescent="0.25">
      <c r="A27" s="73"/>
      <c r="B27" t="s">
        <v>60</v>
      </c>
      <c r="C27" s="52">
        <f>+C81</f>
        <v>523.84919279999997</v>
      </c>
      <c r="D27" s="52">
        <f>+D81</f>
        <v>751.47738700000002</v>
      </c>
      <c r="E27" s="52">
        <f>+E81</f>
        <v>1162.603388</v>
      </c>
      <c r="F27" s="52">
        <f>+F81</f>
        <v>1205.8</v>
      </c>
      <c r="G27" s="3">
        <v>1200</v>
      </c>
      <c r="H27" s="3">
        <v>1200</v>
      </c>
      <c r="I27" s="14">
        <v>1200</v>
      </c>
      <c r="J27" s="14">
        <v>1200</v>
      </c>
      <c r="K27" s="14">
        <v>1200</v>
      </c>
      <c r="L27" s="14">
        <v>1200</v>
      </c>
      <c r="M27" s="14">
        <v>1200</v>
      </c>
      <c r="N27" s="14">
        <v>1200</v>
      </c>
      <c r="O27" s="14">
        <v>1200</v>
      </c>
      <c r="P27" s="14">
        <v>1200</v>
      </c>
    </row>
    <row r="28" spans="1:16" ht="15" customHeight="1" x14ac:dyDescent="0.25">
      <c r="A28" s="73"/>
      <c r="B28" t="s">
        <v>61</v>
      </c>
      <c r="C28" s="52">
        <f>-C85/C55*365</f>
        <v>252.23161530438296</v>
      </c>
      <c r="D28" s="52">
        <f>-D85/D55*365</f>
        <v>261.46575452671266</v>
      </c>
      <c r="E28" s="52">
        <f>-E85/E55*365</f>
        <v>245.70741846577033</v>
      </c>
      <c r="F28" s="52">
        <f>-F85/F55*365</f>
        <v>250.99932853625657</v>
      </c>
      <c r="G28" s="3">
        <v>259</v>
      </c>
      <c r="H28" s="3">
        <v>259</v>
      </c>
      <c r="I28" s="14">
        <v>259</v>
      </c>
      <c r="J28" s="14">
        <v>259</v>
      </c>
      <c r="K28" s="14">
        <v>259</v>
      </c>
      <c r="L28" s="14">
        <v>259</v>
      </c>
      <c r="M28" s="14">
        <v>259</v>
      </c>
      <c r="N28" s="14">
        <v>259</v>
      </c>
      <c r="O28" s="14">
        <v>259</v>
      </c>
      <c r="P28" s="14">
        <v>259</v>
      </c>
    </row>
    <row r="29" spans="1:16" ht="15" customHeight="1" x14ac:dyDescent="0.25">
      <c r="A29" s="73"/>
    </row>
    <row r="30" spans="1:16" ht="15" customHeight="1" x14ac:dyDescent="0.25">
      <c r="A30" s="73"/>
      <c r="B30" t="s">
        <v>62</v>
      </c>
      <c r="D30" s="52">
        <f>D88-C88</f>
        <v>5.9601356299999679</v>
      </c>
      <c r="E30" s="52">
        <f>E88-D88</f>
        <v>40.856667000000016</v>
      </c>
      <c r="F30" s="52">
        <f>F88-E88</f>
        <v>-21.21639799999997</v>
      </c>
      <c r="G30" s="3">
        <v>0</v>
      </c>
      <c r="H30" s="3">
        <v>-11.2</v>
      </c>
      <c r="I30" s="14">
        <v>0</v>
      </c>
      <c r="J30" s="14">
        <v>0</v>
      </c>
      <c r="K30" s="14">
        <v>0</v>
      </c>
      <c r="L30" s="14">
        <v>0</v>
      </c>
      <c r="M30" s="14">
        <v>0</v>
      </c>
      <c r="N30" s="14">
        <v>0</v>
      </c>
      <c r="O30" s="14">
        <v>0</v>
      </c>
      <c r="P30" s="14">
        <v>0</v>
      </c>
    </row>
    <row r="31" spans="1:16" ht="15" customHeight="1" x14ac:dyDescent="0.25">
      <c r="A31" s="73"/>
      <c r="B31" t="s">
        <v>63</v>
      </c>
      <c r="G31" s="11">
        <v>0.05</v>
      </c>
      <c r="H31" s="11">
        <v>0.04</v>
      </c>
      <c r="I31" s="44">
        <v>0.04</v>
      </c>
      <c r="J31" s="44">
        <v>3.2000000000000001E-2</v>
      </c>
      <c r="K31" s="44">
        <v>3.2000000000000001E-2</v>
      </c>
      <c r="L31" s="44">
        <v>3.2000000000000001E-2</v>
      </c>
      <c r="M31" s="44">
        <v>3.2000000000000001E-2</v>
      </c>
      <c r="N31" s="44">
        <v>3.2000000000000001E-2</v>
      </c>
      <c r="O31" s="44">
        <v>3.2000000000000001E-2</v>
      </c>
      <c r="P31" s="44">
        <v>3.2000000000000001E-2</v>
      </c>
    </row>
    <row r="32" spans="1:16" ht="15" customHeight="1" x14ac:dyDescent="0.25">
      <c r="A32" s="73"/>
      <c r="B32" t="s">
        <v>64</v>
      </c>
      <c r="G32" s="11">
        <v>0.06</v>
      </c>
      <c r="H32" s="11">
        <v>0.06</v>
      </c>
      <c r="I32" s="44">
        <v>0.06</v>
      </c>
      <c r="J32" s="44">
        <v>0.06</v>
      </c>
      <c r="K32" s="44">
        <v>0.06</v>
      </c>
      <c r="L32" s="44">
        <v>0.06</v>
      </c>
      <c r="M32" s="44">
        <v>0.06</v>
      </c>
      <c r="N32" s="44">
        <v>0.06</v>
      </c>
      <c r="O32" s="44">
        <v>0.06</v>
      </c>
      <c r="P32" s="44">
        <v>0.06</v>
      </c>
    </row>
    <row r="33" spans="1:16" ht="15" customHeight="1" x14ac:dyDescent="0.25">
      <c r="A33" s="73"/>
      <c r="B33" t="s">
        <v>65</v>
      </c>
      <c r="G33" s="11">
        <v>3.7999999999999999E-2</v>
      </c>
      <c r="H33" s="11">
        <v>0.03</v>
      </c>
      <c r="I33" s="44">
        <v>0.03</v>
      </c>
      <c r="J33" s="44">
        <v>2.1999999999999999E-2</v>
      </c>
      <c r="K33" s="44">
        <v>2.1999999999999999E-2</v>
      </c>
      <c r="L33" s="44">
        <v>2.1999999999999999E-2</v>
      </c>
      <c r="M33" s="44">
        <v>2.1999999999999999E-2</v>
      </c>
      <c r="N33" s="44">
        <v>2.1999999999999999E-2</v>
      </c>
      <c r="O33" s="44">
        <v>2.1999999999999999E-2</v>
      </c>
      <c r="P33" s="44">
        <v>2.1999999999999999E-2</v>
      </c>
    </row>
    <row r="34" spans="1:16" ht="15" customHeight="1" x14ac:dyDescent="0.25">
      <c r="A34" s="73"/>
    </row>
    <row r="35" spans="1:16" ht="15" customHeight="1" x14ac:dyDescent="0.25">
      <c r="A35" s="73" t="s">
        <v>66</v>
      </c>
    </row>
    <row r="36" spans="1:16" ht="15" customHeight="1" x14ac:dyDescent="0.25">
      <c r="A36" s="73"/>
      <c r="B36" t="s">
        <v>24</v>
      </c>
    </row>
    <row r="37" spans="1:16" ht="15" customHeight="1" x14ac:dyDescent="0.25">
      <c r="A37" s="73"/>
      <c r="B37" t="s">
        <v>67</v>
      </c>
      <c r="G37">
        <f>F40</f>
        <v>2601.1999999999998</v>
      </c>
      <c r="H37">
        <f t="shared" ref="H37:P37" si="7">G40</f>
        <v>2922.4319999999998</v>
      </c>
      <c r="I37">
        <f t="shared" si="7"/>
        <v>3254.9465599999999</v>
      </c>
      <c r="J37">
        <f t="shared" si="7"/>
        <v>3602.7719159002213</v>
      </c>
      <c r="K37">
        <f t="shared" si="7"/>
        <v>3880.0883894489516</v>
      </c>
      <c r="L37">
        <f t="shared" si="7"/>
        <v>4178.753160422425</v>
      </c>
      <c r="M37">
        <f t="shared" si="7"/>
        <v>4539.5859077976502</v>
      </c>
      <c r="N37">
        <f t="shared" si="7"/>
        <v>4787.7955735325831</v>
      </c>
      <c r="O37">
        <f t="shared" si="7"/>
        <v>5047.6752167624427</v>
      </c>
      <c r="P37">
        <f t="shared" si="7"/>
        <v>5222.5285326046524</v>
      </c>
    </row>
    <row r="38" spans="1:16" ht="15" customHeight="1" x14ac:dyDescent="0.25">
      <c r="A38" s="73"/>
      <c r="B38" t="s">
        <v>68</v>
      </c>
      <c r="C38" s="3">
        <v>374.198736</v>
      </c>
      <c r="D38" s="55">
        <v>546.70401100000004</v>
      </c>
      <c r="E38" s="55">
        <v>661.31618200000003</v>
      </c>
      <c r="F38" s="55">
        <v>799.7</v>
      </c>
      <c r="G38">
        <f>G26*G54</f>
        <v>763.43600000000004</v>
      </c>
      <c r="H38">
        <f t="shared" ref="H38:O38" si="8">H26*H54</f>
        <v>829.32800000000009</v>
      </c>
      <c r="I38">
        <f t="shared" si="8"/>
        <v>901.16627110022137</v>
      </c>
      <c r="J38">
        <f t="shared" si="8"/>
        <v>889.78769925176789</v>
      </c>
      <c r="K38">
        <f t="shared" si="8"/>
        <v>958.27979717979508</v>
      </c>
      <c r="L38">
        <f t="shared" si="8"/>
        <v>1029.4332530428128</v>
      </c>
      <c r="M38">
        <f t="shared" si="8"/>
        <v>974.54341098255713</v>
      </c>
      <c r="N38">
        <f t="shared" si="8"/>
        <v>1025.9269349950725</v>
      </c>
      <c r="O38">
        <f t="shared" si="8"/>
        <v>982.48135052420093</v>
      </c>
      <c r="P38">
        <f t="shared" ref="P38" si="9">P26*P54</f>
        <v>1008.0258656378301</v>
      </c>
    </row>
    <row r="39" spans="1:16" ht="15" customHeight="1" x14ac:dyDescent="0.25">
      <c r="A39" s="73"/>
      <c r="B39" t="s">
        <v>69</v>
      </c>
      <c r="G39">
        <f>G17*G37*-1</f>
        <v>-442.20400000000001</v>
      </c>
      <c r="H39">
        <f t="shared" ref="H39:O39" si="10">H17*H37*-1</f>
        <v>-496.81344000000001</v>
      </c>
      <c r="I39">
        <f t="shared" si="10"/>
        <v>-553.34091520000004</v>
      </c>
      <c r="J39">
        <f t="shared" si="10"/>
        <v>-612.4712257030377</v>
      </c>
      <c r="K39">
        <f t="shared" si="10"/>
        <v>-659.61502620632177</v>
      </c>
      <c r="L39">
        <f t="shared" si="10"/>
        <v>-668.60050566758798</v>
      </c>
      <c r="M39">
        <f t="shared" si="10"/>
        <v>-726.33374524762405</v>
      </c>
      <c r="N39">
        <f t="shared" si="10"/>
        <v>-766.04729176521334</v>
      </c>
      <c r="O39">
        <f t="shared" si="10"/>
        <v>-807.62803468199081</v>
      </c>
      <c r="P39">
        <f t="shared" ref="P39" si="11">P17*P37*-1</f>
        <v>-835.60456521674439</v>
      </c>
    </row>
    <row r="40" spans="1:16" ht="15" customHeight="1" x14ac:dyDescent="0.25">
      <c r="A40" s="73"/>
      <c r="B40" t="s">
        <v>70</v>
      </c>
      <c r="E40" s="43"/>
      <c r="F40">
        <f>F80</f>
        <v>2601.1999999999998</v>
      </c>
      <c r="G40">
        <f>SUM(G37:G39)</f>
        <v>2922.4319999999998</v>
      </c>
      <c r="H40">
        <f t="shared" ref="H40:O40" si="12">SUM(H37:H39)</f>
        <v>3254.9465599999999</v>
      </c>
      <c r="I40">
        <f t="shared" si="12"/>
        <v>3602.7719159002213</v>
      </c>
      <c r="J40">
        <f t="shared" si="12"/>
        <v>3880.0883894489516</v>
      </c>
      <c r="K40">
        <f t="shared" si="12"/>
        <v>4178.753160422425</v>
      </c>
      <c r="L40">
        <f t="shared" si="12"/>
        <v>4539.5859077976502</v>
      </c>
      <c r="M40">
        <f t="shared" si="12"/>
        <v>4787.7955735325831</v>
      </c>
      <c r="N40">
        <f t="shared" si="12"/>
        <v>5047.6752167624427</v>
      </c>
      <c r="O40">
        <f t="shared" si="12"/>
        <v>5222.5285326046524</v>
      </c>
      <c r="P40">
        <f t="shared" ref="P40" si="13">SUM(P37:P39)</f>
        <v>5394.9498330257384</v>
      </c>
    </row>
    <row r="41" spans="1:16" ht="15" customHeight="1" x14ac:dyDescent="0.25">
      <c r="A41" s="73"/>
    </row>
    <row r="42" spans="1:16" ht="15" customHeight="1" x14ac:dyDescent="0.25">
      <c r="A42" s="73"/>
      <c r="B42" t="s">
        <v>71</v>
      </c>
    </row>
    <row r="43" spans="1:16" ht="15" customHeight="1" x14ac:dyDescent="0.25">
      <c r="A43" s="73"/>
      <c r="B43" t="s">
        <v>67</v>
      </c>
      <c r="G43">
        <f>F46</f>
        <v>4112.3999999999996</v>
      </c>
      <c r="H43">
        <f t="shared" ref="H43:P43" ca="1" si="14">G46</f>
        <v>4990.5841577351848</v>
      </c>
      <c r="I43">
        <f t="shared" ca="1" si="14"/>
        <v>5593.7631198422314</v>
      </c>
      <c r="J43">
        <f t="shared" ca="1" si="14"/>
        <v>6273.5727265606738</v>
      </c>
      <c r="K43">
        <f t="shared" ca="1" si="14"/>
        <v>7032.6984375438951</v>
      </c>
      <c r="L43">
        <f t="shared" ca="1" si="14"/>
        <v>7877.7410031776089</v>
      </c>
      <c r="M43">
        <f t="shared" ca="1" si="14"/>
        <v>8794.6555546842646</v>
      </c>
      <c r="N43">
        <f t="shared" ca="1" si="14"/>
        <v>9772.759931545128</v>
      </c>
      <c r="O43">
        <f t="shared" ca="1" si="14"/>
        <v>10804.601584191241</v>
      </c>
      <c r="P43">
        <f t="shared" ca="1" si="14"/>
        <v>11870.076165238404</v>
      </c>
    </row>
    <row r="44" spans="1:16" ht="15" customHeight="1" x14ac:dyDescent="0.25">
      <c r="A44" s="73"/>
      <c r="B44" t="s">
        <v>72</v>
      </c>
      <c r="G44">
        <f ca="1">G71</f>
        <v>2195.4603943379634</v>
      </c>
      <c r="H44">
        <f t="shared" ref="H44:O44" ca="1" si="15">H71</f>
        <v>2412.7158484281881</v>
      </c>
      <c r="I44">
        <f t="shared" ca="1" si="15"/>
        <v>2719.2384268737651</v>
      </c>
      <c r="J44">
        <f t="shared" ca="1" si="15"/>
        <v>3036.5028439328821</v>
      </c>
      <c r="K44">
        <f t="shared" ca="1" si="15"/>
        <v>3380.1702625348553</v>
      </c>
      <c r="L44">
        <f t="shared" ca="1" si="15"/>
        <v>3667.6582060266219</v>
      </c>
      <c r="M44">
        <f t="shared" ca="1" si="15"/>
        <v>3912.4175074434529</v>
      </c>
      <c r="N44">
        <f t="shared" ca="1" si="15"/>
        <v>4127.3666105844568</v>
      </c>
      <c r="O44">
        <f t="shared" ca="1" si="15"/>
        <v>4261.8983241886481</v>
      </c>
      <c r="P44">
        <f t="shared" ref="P44" ca="1" si="16">P71</f>
        <v>4380.4175778108465</v>
      </c>
    </row>
    <row r="45" spans="1:16" ht="15" customHeight="1" x14ac:dyDescent="0.25">
      <c r="A45" s="73"/>
      <c r="B45" t="s">
        <v>73</v>
      </c>
      <c r="D45" s="248">
        <v>-1220.139345</v>
      </c>
      <c r="E45" s="248">
        <v>-1510.722702</v>
      </c>
      <c r="F45" s="248">
        <v>-1701</v>
      </c>
      <c r="G45">
        <f ca="1">G21*G44*-1</f>
        <v>-1317.276236602778</v>
      </c>
      <c r="H45">
        <f t="shared" ref="H45:O45" ca="1" si="17">H21*H44*-1</f>
        <v>-1809.5368863211411</v>
      </c>
      <c r="I45">
        <f t="shared" ca="1" si="17"/>
        <v>-2039.4288201553238</v>
      </c>
      <c r="J45">
        <f t="shared" ca="1" si="17"/>
        <v>-2277.3771329496617</v>
      </c>
      <c r="K45">
        <f t="shared" ca="1" si="17"/>
        <v>-2535.1276969011415</v>
      </c>
      <c r="L45">
        <f t="shared" ca="1" si="17"/>
        <v>-2750.7436545199662</v>
      </c>
      <c r="M45">
        <f t="shared" ca="1" si="17"/>
        <v>-2934.3131305825896</v>
      </c>
      <c r="N45">
        <f t="shared" ca="1" si="17"/>
        <v>-3095.5249579383426</v>
      </c>
      <c r="O45">
        <f t="shared" ca="1" si="17"/>
        <v>-3196.4237431414858</v>
      </c>
      <c r="P45">
        <f t="shared" ref="P45" ca="1" si="18">P21*P44*-1</f>
        <v>-3285.3131833581347</v>
      </c>
    </row>
    <row r="46" spans="1:16" ht="15" customHeight="1" x14ac:dyDescent="0.25">
      <c r="A46" s="73"/>
      <c r="B46" t="s">
        <v>70</v>
      </c>
      <c r="E46" s="43"/>
      <c r="F46">
        <f>F91</f>
        <v>4112.3999999999996</v>
      </c>
      <c r="G46">
        <f ca="1">SUM(G43:G45)</f>
        <v>4990.5841577351848</v>
      </c>
      <c r="H46">
        <f t="shared" ref="H46:O46" ca="1" si="19">SUM(H43:H45)</f>
        <v>5593.7631198422314</v>
      </c>
      <c r="I46">
        <f t="shared" ca="1" si="19"/>
        <v>6273.5727265606738</v>
      </c>
      <c r="J46">
        <f t="shared" ca="1" si="19"/>
        <v>7032.6984375438951</v>
      </c>
      <c r="K46">
        <f t="shared" ca="1" si="19"/>
        <v>7877.7410031776089</v>
      </c>
      <c r="L46">
        <f t="shared" ca="1" si="19"/>
        <v>8794.6555546842646</v>
      </c>
      <c r="M46">
        <f t="shared" ca="1" si="19"/>
        <v>9772.759931545128</v>
      </c>
      <c r="N46">
        <f t="shared" ca="1" si="19"/>
        <v>10804.601584191241</v>
      </c>
      <c r="O46">
        <f t="shared" ca="1" si="19"/>
        <v>11870.076165238404</v>
      </c>
      <c r="P46">
        <f t="shared" ref="P46" ca="1" si="20">SUM(P43:P45)</f>
        <v>12965.180559691114</v>
      </c>
    </row>
    <row r="47" spans="1:16" ht="15" customHeight="1" x14ac:dyDescent="0.25">
      <c r="A47" s="73"/>
    </row>
    <row r="48" spans="1:16" ht="15" customHeight="1" x14ac:dyDescent="0.25">
      <c r="A48" s="73" t="s">
        <v>74</v>
      </c>
    </row>
    <row r="49" spans="1:16" ht="15" customHeight="1" x14ac:dyDescent="0.25">
      <c r="A49" s="73"/>
      <c r="B49" t="s">
        <v>75</v>
      </c>
    </row>
    <row r="50" spans="1:16" ht="15" customHeight="1" x14ac:dyDescent="0.25">
      <c r="A50" s="73"/>
      <c r="B50" s="147" t="s">
        <v>76</v>
      </c>
      <c r="C50" s="3">
        <v>2249.6705459999998</v>
      </c>
      <c r="D50" s="55">
        <v>2828.8340240000002</v>
      </c>
      <c r="E50" s="55">
        <v>3519.1137140000001</v>
      </c>
      <c r="F50" s="55">
        <v>3839.3530599999999</v>
      </c>
      <c r="G50">
        <f>(F50/F54)*G54</f>
        <v>4084.1827663722752</v>
      </c>
      <c r="H50">
        <f>(F50/$F$54)*H54</f>
        <v>4436.6877187740511</v>
      </c>
      <c r="I50">
        <f t="shared" ref="I50:P50" si="21">(I8+1)*H50</f>
        <v>4813.8061748698456</v>
      </c>
      <c r="J50">
        <f t="shared" si="21"/>
        <v>5198.9106688594338</v>
      </c>
      <c r="K50">
        <f t="shared" si="21"/>
        <v>5588.8289690238907</v>
      </c>
      <c r="L50">
        <f t="shared" si="21"/>
        <v>5980.0469968555635</v>
      </c>
      <c r="M50">
        <f t="shared" si="21"/>
        <v>6368.7500516511745</v>
      </c>
      <c r="N50">
        <f t="shared" si="21"/>
        <v>6687.1875542337339</v>
      </c>
      <c r="O50">
        <f t="shared" si="21"/>
        <v>6887.8031808607457</v>
      </c>
      <c r="P50">
        <f t="shared" si="21"/>
        <v>7066.8860635631254</v>
      </c>
    </row>
    <row r="51" spans="1:16" ht="15" customHeight="1" x14ac:dyDescent="0.25">
      <c r="A51" s="73"/>
      <c r="B51" s="147" t="s">
        <v>77</v>
      </c>
      <c r="C51" s="3">
        <v>2981.1378300000001</v>
      </c>
      <c r="D51" s="55">
        <v>3627.0362279999999</v>
      </c>
      <c r="E51" s="55">
        <v>4275.2369369999997</v>
      </c>
      <c r="F51" s="55">
        <v>4557.4025700000002</v>
      </c>
      <c r="G51">
        <f>(F51/F54)*G54</f>
        <v>4848.0212017320227</v>
      </c>
      <c r="H51">
        <f>(F51/$F$54)*H54</f>
        <v>5266.4528882447448</v>
      </c>
      <c r="I51">
        <f t="shared" ref="I51:P53" si="22">(I9+1)*H51</f>
        <v>5661.4368548631001</v>
      </c>
      <c r="J51">
        <f t="shared" si="22"/>
        <v>6086.0446189778322</v>
      </c>
      <c r="K51">
        <f t="shared" si="22"/>
        <v>6512.0677423062807</v>
      </c>
      <c r="L51">
        <f t="shared" si="22"/>
        <v>6967.9124842677211</v>
      </c>
      <c r="M51">
        <f t="shared" si="22"/>
        <v>7420.8267957451226</v>
      </c>
      <c r="N51">
        <f t="shared" si="22"/>
        <v>7791.8681355323788</v>
      </c>
      <c r="O51">
        <f t="shared" si="22"/>
        <v>8025.6241795983506</v>
      </c>
      <c r="P51">
        <f t="shared" si="22"/>
        <v>8234.290408267907</v>
      </c>
    </row>
    <row r="52" spans="1:16" ht="15" customHeight="1" x14ac:dyDescent="0.25">
      <c r="A52" s="73"/>
      <c r="B52" s="147" t="s">
        <v>78</v>
      </c>
      <c r="C52" s="3">
        <v>341.569119</v>
      </c>
      <c r="D52" s="55">
        <v>470.07702499999999</v>
      </c>
      <c r="E52" s="55">
        <v>790.61045000000001</v>
      </c>
      <c r="F52" s="55">
        <v>964.54474000000005</v>
      </c>
      <c r="G52">
        <f>(F52/F54)*G54</f>
        <v>1026.0522913469767</v>
      </c>
      <c r="H52">
        <f>(F52/$F$54)*H54</f>
        <v>1114.6106480152962</v>
      </c>
      <c r="I52">
        <f t="shared" si="22"/>
        <v>1281.8022452175906</v>
      </c>
      <c r="J52">
        <f t="shared" si="22"/>
        <v>1448.4365370958772</v>
      </c>
      <c r="K52">
        <f t="shared" si="22"/>
        <v>1607.7645561764239</v>
      </c>
      <c r="L52">
        <f t="shared" si="22"/>
        <v>1768.5410117940664</v>
      </c>
      <c r="M52">
        <f t="shared" si="22"/>
        <v>1910.0242927375918</v>
      </c>
      <c r="N52">
        <f t="shared" si="22"/>
        <v>2043.7259932292234</v>
      </c>
      <c r="O52">
        <f t="shared" si="22"/>
        <v>2145.9122928906845</v>
      </c>
      <c r="P52">
        <f t="shared" si="22"/>
        <v>2201.7060125058424</v>
      </c>
    </row>
    <row r="53" spans="1:16" ht="15" customHeight="1" x14ac:dyDescent="0.25">
      <c r="A53" s="73"/>
      <c r="B53" s="147" t="s">
        <v>79</v>
      </c>
      <c r="C53" s="3">
        <v>734.91953799999999</v>
      </c>
      <c r="D53" s="55">
        <v>889.68272000000002</v>
      </c>
      <c r="E53" s="55">
        <v>1099.251479</v>
      </c>
      <c r="F53" s="55">
        <v>1192.68785</v>
      </c>
      <c r="G53">
        <f>(F53/F54)*G54</f>
        <v>1268.7437405487271</v>
      </c>
      <c r="H53">
        <f>(F53/$F$54)*H54</f>
        <v>1378.2487449659104</v>
      </c>
      <c r="I53">
        <f t="shared" si="22"/>
        <v>1495.3998882880128</v>
      </c>
      <c r="J53">
        <f t="shared" si="22"/>
        <v>1618.02267912763</v>
      </c>
      <c r="K53">
        <f t="shared" si="22"/>
        <v>1747.4644934578405</v>
      </c>
      <c r="L53">
        <f t="shared" si="22"/>
        <v>1887.2616529344677</v>
      </c>
      <c r="M53">
        <f t="shared" si="22"/>
        <v>2019.3699686398807</v>
      </c>
      <c r="N53">
        <f t="shared" si="22"/>
        <v>2130.4353169150741</v>
      </c>
      <c r="O53">
        <f t="shared" si="22"/>
        <v>2205.0005530071016</v>
      </c>
      <c r="P53">
        <f t="shared" si="22"/>
        <v>2262.3305673852865</v>
      </c>
    </row>
    <row r="54" spans="1:16" ht="15" customHeight="1" x14ac:dyDescent="0.25">
      <c r="A54" s="73"/>
      <c r="B54" t="s">
        <v>80</v>
      </c>
      <c r="C54">
        <f>SUM(C50:C53)</f>
        <v>6307.2970329999998</v>
      </c>
      <c r="D54">
        <f t="shared" ref="D54:F54" si="23">SUM(D50:D53)</f>
        <v>7815.629997</v>
      </c>
      <c r="E54">
        <f t="shared" si="23"/>
        <v>9684.2125799999994</v>
      </c>
      <c r="F54">
        <f t="shared" si="23"/>
        <v>10553.988219999999</v>
      </c>
      <c r="G54" s="55">
        <v>11227</v>
      </c>
      <c r="H54" s="55">
        <v>12196</v>
      </c>
      <c r="I54">
        <f t="shared" ref="I54" si="24">SUM(I50:I53)</f>
        <v>13252.445163238548</v>
      </c>
      <c r="J54">
        <f t="shared" ref="J54" si="25">SUM(J50:J53)</f>
        <v>14351.414504060773</v>
      </c>
      <c r="K54">
        <f t="shared" ref="K54" si="26">SUM(K50:K53)</f>
        <v>15456.125760964436</v>
      </c>
      <c r="L54">
        <f t="shared" ref="L54" si="27">SUM(L50:L53)</f>
        <v>16603.762145851819</v>
      </c>
      <c r="M54">
        <f t="shared" ref="M54" si="28">SUM(M50:M53)</f>
        <v>17718.971108773767</v>
      </c>
      <c r="N54">
        <f t="shared" ref="N54" si="29">SUM(N50:N53)</f>
        <v>18653.216999910408</v>
      </c>
      <c r="O54">
        <f t="shared" ref="O54" si="30">SUM(O50:O53)</f>
        <v>19264.340206356883</v>
      </c>
      <c r="P54">
        <f t="shared" ref="P54" si="31">SUM(P50:P53)</f>
        <v>19765.213051722159</v>
      </c>
    </row>
    <row r="55" spans="1:16" ht="15" customHeight="1" x14ac:dyDescent="0.25">
      <c r="A55" s="73"/>
      <c r="B55" t="s">
        <v>81</v>
      </c>
      <c r="C55" s="3">
        <v>-1736.0260111100001</v>
      </c>
      <c r="D55" s="248">
        <f>-552.611255-1665.573346</f>
        <v>-2218.1846009999999</v>
      </c>
      <c r="E55" s="248">
        <f>-879.353942-2379.808727</f>
        <v>-3259.1626690000003</v>
      </c>
      <c r="F55" s="229">
        <f>E55*(1.06)</f>
        <v>-3454.7124291400005</v>
      </c>
      <c r="G55">
        <f>(F55/F54)*G54</f>
        <v>-3675.014187381269</v>
      </c>
      <c r="H55">
        <f>(F55/F54)*H54</f>
        <v>-3992.2038861051001</v>
      </c>
      <c r="I55">
        <f t="shared" ref="I55:O55" si="32">I14*I54*-1</f>
        <v>-4240.7824522363353</v>
      </c>
      <c r="J55">
        <f t="shared" si="32"/>
        <v>-4520.6955687791433</v>
      </c>
      <c r="K55">
        <f t="shared" si="32"/>
        <v>-4791.3989858989753</v>
      </c>
      <c r="L55">
        <f t="shared" si="32"/>
        <v>-5147.166265214064</v>
      </c>
      <c r="M55">
        <f t="shared" si="32"/>
        <v>-5492.8810437198681</v>
      </c>
      <c r="N55">
        <f t="shared" si="32"/>
        <v>-5782.4972699722266</v>
      </c>
      <c r="O55">
        <f t="shared" si="32"/>
        <v>-5971.9454639706337</v>
      </c>
      <c r="P55">
        <f t="shared" ref="P55" si="33">P14*P54*-1</f>
        <v>-6127.2160460338691</v>
      </c>
    </row>
    <row r="56" spans="1:16" ht="15" customHeight="1" x14ac:dyDescent="0.25">
      <c r="A56" s="73"/>
      <c r="B56" t="s">
        <v>82</v>
      </c>
      <c r="C56">
        <f>SUM(C54:C55)</f>
        <v>4571.2710218899992</v>
      </c>
      <c r="D56">
        <f t="shared" ref="D56:G56" si="34">SUM(D54:D55)</f>
        <v>5597.4453960000001</v>
      </c>
      <c r="E56">
        <f t="shared" si="34"/>
        <v>6425.0499109999992</v>
      </c>
      <c r="F56">
        <f t="shared" si="34"/>
        <v>7099.2757908599988</v>
      </c>
      <c r="G56">
        <f t="shared" si="34"/>
        <v>7551.985812618731</v>
      </c>
      <c r="H56">
        <f t="shared" ref="H56" si="35">SUM(H54:H55)</f>
        <v>8203.7961138948995</v>
      </c>
      <c r="I56">
        <f t="shared" ref="I56" si="36">SUM(I54:I55)</f>
        <v>9011.6627110022127</v>
      </c>
      <c r="J56">
        <f t="shared" ref="J56" si="37">SUM(J54:J55)</f>
        <v>9830.7189352816295</v>
      </c>
      <c r="K56">
        <f t="shared" ref="K56" si="38">SUM(K54:K55)</f>
        <v>10664.726775065461</v>
      </c>
      <c r="L56">
        <f t="shared" ref="L56" si="39">SUM(L54:L55)</f>
        <v>11456.595880637755</v>
      </c>
      <c r="M56">
        <f t="shared" ref="M56" si="40">SUM(M54:M55)</f>
        <v>12226.090065053899</v>
      </c>
      <c r="N56">
        <f t="shared" ref="N56" si="41">SUM(N54:N55)</f>
        <v>12870.719729938181</v>
      </c>
      <c r="O56">
        <f t="shared" ref="O56" si="42">SUM(O54:O55)</f>
        <v>13292.394742386248</v>
      </c>
      <c r="P56">
        <f t="shared" ref="P56" si="43">SUM(P54:P55)</f>
        <v>13637.99700568829</v>
      </c>
    </row>
    <row r="57" spans="1:16" ht="15" customHeight="1" x14ac:dyDescent="0.25">
      <c r="A57" s="73"/>
    </row>
    <row r="58" spans="1:16" ht="15" customHeight="1" x14ac:dyDescent="0.25">
      <c r="A58" s="73"/>
      <c r="B58" t="s">
        <v>83</v>
      </c>
      <c r="C58" s="3">
        <v>-1009.44643372</v>
      </c>
      <c r="D58" s="55">
        <v>-1182.7645570000004</v>
      </c>
      <c r="E58" s="55">
        <v>-1451.5604949999999</v>
      </c>
      <c r="F58" s="229">
        <f>E58*1.06</f>
        <v>-1538.6541247</v>
      </c>
      <c r="G58">
        <f>G15*G54*-1</f>
        <v>-1627.915</v>
      </c>
      <c r="H58">
        <f t="shared" ref="H58:O58" si="44">H15*H54*-1</f>
        <v>-1744.0279999999998</v>
      </c>
      <c r="I58">
        <f t="shared" si="44"/>
        <v>-1881.8472131798737</v>
      </c>
      <c r="J58">
        <f t="shared" si="44"/>
        <v>-2009.1980305685083</v>
      </c>
      <c r="K58">
        <f t="shared" si="44"/>
        <v>-2132.9453550130925</v>
      </c>
      <c r="L58">
        <f t="shared" si="44"/>
        <v>-2291.3191761275511</v>
      </c>
      <c r="M58">
        <f t="shared" si="44"/>
        <v>-2445.2180130107799</v>
      </c>
      <c r="N58">
        <f t="shared" si="44"/>
        <v>-2574.1439459876365</v>
      </c>
      <c r="O58">
        <f t="shared" si="44"/>
        <v>-2658.47894847725</v>
      </c>
      <c r="P58">
        <f t="shared" ref="P58" si="45">P15*P54*-1</f>
        <v>-2727.5994011376583</v>
      </c>
    </row>
    <row r="59" spans="1:16" ht="15" customHeight="1" x14ac:dyDescent="0.25">
      <c r="A59" s="73"/>
      <c r="B59" t="s">
        <v>84</v>
      </c>
      <c r="C59" s="3">
        <v>-1625.381952</v>
      </c>
      <c r="D59" s="55">
        <v>-1862.2112729999999</v>
      </c>
      <c r="E59" s="55">
        <v>-2289.2193240000001</v>
      </c>
      <c r="F59" s="229">
        <f>E59*1.06</f>
        <v>-2426.5724834400003</v>
      </c>
      <c r="G59">
        <f>G16*G54*-1</f>
        <v>-2548.529</v>
      </c>
      <c r="H59">
        <f t="shared" ref="H59:O59" si="46">H16*H54*-1</f>
        <v>-2744.1</v>
      </c>
      <c r="I59">
        <f t="shared" si="46"/>
        <v>-2955.2952714021962</v>
      </c>
      <c r="J59">
        <f t="shared" si="46"/>
        <v>-3157.3111908933702</v>
      </c>
      <c r="K59">
        <f t="shared" si="46"/>
        <v>-3369.435415890247</v>
      </c>
      <c r="L59">
        <f t="shared" si="46"/>
        <v>-3619.6201477956965</v>
      </c>
      <c r="M59">
        <f t="shared" si="46"/>
        <v>-3862.735701712681</v>
      </c>
      <c r="N59">
        <f t="shared" si="46"/>
        <v>-4066.4013059804688</v>
      </c>
      <c r="O59">
        <f t="shared" si="46"/>
        <v>-4199.6261649858006</v>
      </c>
      <c r="P59">
        <f t="shared" ref="P59" si="47">P16*P54*-1</f>
        <v>-4308.8164452754309</v>
      </c>
    </row>
    <row r="60" spans="1:16" ht="15" customHeight="1" x14ac:dyDescent="0.25">
      <c r="A60" s="73"/>
      <c r="B60" t="s">
        <v>18</v>
      </c>
      <c r="C60">
        <f>SUM(C58:C59,C56)</f>
        <v>1936.4426361699993</v>
      </c>
      <c r="D60">
        <f t="shared" ref="D60:G60" si="48">SUM(D58:D59,D56)</f>
        <v>2552.4695659999998</v>
      </c>
      <c r="E60">
        <f t="shared" si="48"/>
        <v>2684.2700919999988</v>
      </c>
      <c r="F60">
        <f t="shared" si="48"/>
        <v>3134.0491827199985</v>
      </c>
      <c r="G60">
        <f t="shared" si="48"/>
        <v>3375.5418126187315</v>
      </c>
      <c r="H60">
        <f t="shared" ref="H60" si="49">SUM(H58:H59,H56)</f>
        <v>3715.6681138948998</v>
      </c>
      <c r="I60">
        <f t="shared" ref="I60" si="50">SUM(I58:I59,I56)</f>
        <v>4174.5202264201425</v>
      </c>
      <c r="J60">
        <f t="shared" ref="J60" si="51">SUM(J58:J59,J56)</f>
        <v>4664.2097138197514</v>
      </c>
      <c r="K60">
        <f t="shared" ref="K60" si="52">SUM(K58:K59,K56)</f>
        <v>5162.346004162122</v>
      </c>
      <c r="L60">
        <f t="shared" ref="L60" si="53">SUM(L58:L59,L56)</f>
        <v>5545.6565567145071</v>
      </c>
      <c r="M60">
        <f t="shared" ref="M60" si="54">SUM(M58:M59,M56)</f>
        <v>5918.1363503304383</v>
      </c>
      <c r="N60">
        <f t="shared" ref="N60" si="55">SUM(N58:N59,N56)</f>
        <v>6230.1744779700748</v>
      </c>
      <c r="O60">
        <f t="shared" ref="O60" si="56">SUM(O58:O59,O56)</f>
        <v>6434.2896289231976</v>
      </c>
      <c r="P60">
        <f t="shared" ref="P60" si="57">SUM(P58:P59,P56)</f>
        <v>6601.5811592752016</v>
      </c>
    </row>
    <row r="61" spans="1:16" ht="15" customHeight="1" x14ac:dyDescent="0.25">
      <c r="A61" s="73"/>
      <c r="F61" s="63"/>
      <c r="G61" s="63"/>
    </row>
    <row r="62" spans="1:16" ht="15" customHeight="1" x14ac:dyDescent="0.25">
      <c r="A62" s="73"/>
      <c r="B62" t="s">
        <v>69</v>
      </c>
      <c r="C62" s="3">
        <v>-314.22113899999999</v>
      </c>
      <c r="D62" s="55">
        <v>-289.48076400000002</v>
      </c>
      <c r="E62" s="55">
        <v>-392.71516600000001</v>
      </c>
      <c r="F62" s="55">
        <v>-400</v>
      </c>
      <c r="G62">
        <f>G39</f>
        <v>-442.20400000000001</v>
      </c>
      <c r="H62">
        <f t="shared" ref="H62:O62" si="58">H39</f>
        <v>-496.81344000000001</v>
      </c>
      <c r="I62">
        <f t="shared" si="58"/>
        <v>-553.34091520000004</v>
      </c>
      <c r="J62">
        <f t="shared" si="58"/>
        <v>-612.4712257030377</v>
      </c>
      <c r="K62">
        <f t="shared" si="58"/>
        <v>-659.61502620632177</v>
      </c>
      <c r="L62">
        <f t="shared" si="58"/>
        <v>-668.60050566758798</v>
      </c>
      <c r="M62">
        <f t="shared" si="58"/>
        <v>-726.33374524762405</v>
      </c>
      <c r="N62">
        <f t="shared" si="58"/>
        <v>-766.04729176521334</v>
      </c>
      <c r="O62">
        <f t="shared" si="58"/>
        <v>-807.62803468199081</v>
      </c>
      <c r="P62">
        <f t="shared" ref="P62" si="59">P39</f>
        <v>-835.60456521674439</v>
      </c>
    </row>
    <row r="63" spans="1:16" ht="15" customHeight="1" x14ac:dyDescent="0.25">
      <c r="A63" s="73"/>
      <c r="B63" t="s">
        <v>17</v>
      </c>
      <c r="C63">
        <f>SUM(C62,C60)</f>
        <v>1622.2214971699993</v>
      </c>
      <c r="D63">
        <f t="shared" ref="D63:G63" si="60">SUM(D62,D60)</f>
        <v>2262.9888019999999</v>
      </c>
      <c r="E63">
        <f t="shared" si="60"/>
        <v>2291.5549259999989</v>
      </c>
      <c r="F63">
        <f t="shared" si="60"/>
        <v>2734.0491827199985</v>
      </c>
      <c r="G63">
        <f t="shared" si="60"/>
        <v>2933.3378126187313</v>
      </c>
      <c r="H63">
        <f t="shared" ref="H63" si="61">SUM(H62,H60)</f>
        <v>3218.8546738948999</v>
      </c>
      <c r="I63">
        <f t="shared" ref="I63" si="62">SUM(I62,I60)</f>
        <v>3621.1793112201426</v>
      </c>
      <c r="J63">
        <f t="shared" ref="J63" si="63">SUM(J62,J60)</f>
        <v>4051.7384881167136</v>
      </c>
      <c r="K63">
        <f t="shared" ref="K63" si="64">SUM(K62,K60)</f>
        <v>4502.7309779558</v>
      </c>
      <c r="L63">
        <f t="shared" ref="L63" si="65">SUM(L62,L60)</f>
        <v>4877.0560510469195</v>
      </c>
      <c r="M63">
        <f t="shared" ref="M63" si="66">SUM(M62,M60)</f>
        <v>5191.8026050828139</v>
      </c>
      <c r="N63">
        <f t="shared" ref="N63" si="67">SUM(N62,N60)</f>
        <v>5464.1271862048616</v>
      </c>
      <c r="O63">
        <f t="shared" ref="O63" si="68">SUM(O62,O60)</f>
        <v>5626.6615942412063</v>
      </c>
      <c r="P63">
        <f t="shared" ref="P63" si="69">SUM(P62,P60)</f>
        <v>5765.9765940584575</v>
      </c>
    </row>
    <row r="64" spans="1:16" ht="15" customHeight="1" x14ac:dyDescent="0.25">
      <c r="A64" s="73"/>
    </row>
    <row r="65" spans="1:16" ht="15" customHeight="1" x14ac:dyDescent="0.25">
      <c r="A65" s="73"/>
      <c r="B65" t="s">
        <v>85</v>
      </c>
      <c r="C65" s="3">
        <v>10.136563839999999</v>
      </c>
      <c r="D65" s="55">
        <v>56.465197000000003</v>
      </c>
      <c r="E65" s="55">
        <v>52.646692999999999</v>
      </c>
      <c r="F65" s="55">
        <v>55</v>
      </c>
      <c r="G65">
        <f t="shared" ref="G65:O65" ca="1" si="70">IF(Circswitch=1,G120,0)</f>
        <v>34.504891190615808</v>
      </c>
      <c r="H65">
        <f t="shared" ca="1" si="70"/>
        <v>40.270089095957047</v>
      </c>
      <c r="I65">
        <f t="shared" ca="1" si="70"/>
        <v>49.049154382226661</v>
      </c>
      <c r="J65">
        <f t="shared" ca="1" si="70"/>
        <v>44.348255417356533</v>
      </c>
      <c r="K65">
        <f t="shared" ca="1" si="70"/>
        <v>54.654314037294213</v>
      </c>
      <c r="L65">
        <f t="shared" ca="1" si="70"/>
        <v>66.219097982102923</v>
      </c>
      <c r="M65">
        <f t="shared" ca="1" si="70"/>
        <v>80.008519002357602</v>
      </c>
      <c r="N65">
        <f t="shared" ca="1" si="70"/>
        <v>96.206223975617448</v>
      </c>
      <c r="O65">
        <f t="shared" ca="1" si="70"/>
        <v>114.25129728718062</v>
      </c>
      <c r="P65">
        <f t="shared" ref="P65" ca="1" si="71">IF(Circswitch=1,P120,0)</f>
        <v>134.02254394267919</v>
      </c>
    </row>
    <row r="66" spans="1:16" ht="15" customHeight="1" x14ac:dyDescent="0.25">
      <c r="A66" s="73"/>
      <c r="B66" t="s">
        <v>86</v>
      </c>
      <c r="C66" s="3">
        <v>-20.26868073</v>
      </c>
      <c r="D66" s="55">
        <v>-24.409697999999999</v>
      </c>
      <c r="E66" s="55">
        <v>-30.7379</v>
      </c>
      <c r="F66" s="55">
        <v>-34.200000000000003</v>
      </c>
      <c r="G66">
        <f t="shared" ref="G66:O66" ca="1" si="72">IF(Circswitch=1,G118+G119,0)</f>
        <v>-28.416</v>
      </c>
      <c r="H66">
        <f t="shared" ca="1" si="72"/>
        <v>-28.08</v>
      </c>
      <c r="I66">
        <f t="shared" ca="1" si="72"/>
        <v>-27.744</v>
      </c>
      <c r="J66">
        <f t="shared" ca="1" si="72"/>
        <v>-27.744</v>
      </c>
      <c r="K66">
        <f t="shared" ca="1" si="72"/>
        <v>-27.744</v>
      </c>
      <c r="L66">
        <f t="shared" ca="1" si="72"/>
        <v>-27.744</v>
      </c>
      <c r="M66">
        <f t="shared" ca="1" si="72"/>
        <v>-27.744</v>
      </c>
      <c r="N66">
        <f t="shared" ca="1" si="72"/>
        <v>-27.744</v>
      </c>
      <c r="O66">
        <f t="shared" ca="1" si="72"/>
        <v>-27.744</v>
      </c>
      <c r="P66">
        <f t="shared" ref="P66" ca="1" si="73">IF(Circswitch=1,P118+P119,0)</f>
        <v>-27.744</v>
      </c>
    </row>
    <row r="67" spans="1:16" ht="15" customHeight="1" x14ac:dyDescent="0.25">
      <c r="A67" s="73"/>
      <c r="B67" t="s">
        <v>87</v>
      </c>
      <c r="C67" s="3">
        <v>7.6356351500000006</v>
      </c>
      <c r="D67" s="55">
        <v>4.3481420000000002</v>
      </c>
      <c r="E67" s="55">
        <v>7.2397410000000004</v>
      </c>
      <c r="F67" s="55">
        <v>7</v>
      </c>
      <c r="G67">
        <f>G18</f>
        <v>7.5</v>
      </c>
      <c r="H67">
        <f t="shared" ref="H67:O67" si="74">H18</f>
        <v>7.5</v>
      </c>
      <c r="I67">
        <f t="shared" si="74"/>
        <v>7.5</v>
      </c>
      <c r="J67">
        <f t="shared" si="74"/>
        <v>7.5</v>
      </c>
      <c r="K67">
        <f t="shared" si="74"/>
        <v>7.5</v>
      </c>
      <c r="L67">
        <f t="shared" si="74"/>
        <v>7.5</v>
      </c>
      <c r="M67">
        <f t="shared" si="74"/>
        <v>7.5</v>
      </c>
      <c r="N67">
        <f t="shared" si="74"/>
        <v>7.5</v>
      </c>
      <c r="O67">
        <f t="shared" si="74"/>
        <v>7.5</v>
      </c>
      <c r="P67">
        <f t="shared" ref="P67" si="75">P18</f>
        <v>7.5</v>
      </c>
    </row>
    <row r="68" spans="1:16" ht="15" customHeight="1" x14ac:dyDescent="0.25">
      <c r="A68" s="73"/>
      <c r="B68" t="s">
        <v>88</v>
      </c>
      <c r="C68">
        <f>SUM(C65:C67,C63)</f>
        <v>1619.7250154299993</v>
      </c>
      <c r="D68">
        <f t="shared" ref="D68:G68" si="76">SUM(D65:D67,D63)</f>
        <v>2299.3924429999997</v>
      </c>
      <c r="E68">
        <f t="shared" si="76"/>
        <v>2320.7034599999988</v>
      </c>
      <c r="F68">
        <f t="shared" si="76"/>
        <v>2761.8491827199987</v>
      </c>
      <c r="G68">
        <f t="shared" ca="1" si="76"/>
        <v>2946.9267038093471</v>
      </c>
      <c r="H68">
        <f t="shared" ref="H68" ca="1" si="77">SUM(H65:H67,H63)</f>
        <v>3238.5447629908567</v>
      </c>
      <c r="I68">
        <f t="shared" ref="I68" ca="1" si="78">SUM(I65:I67,I63)</f>
        <v>3649.9844656023693</v>
      </c>
      <c r="J68">
        <f t="shared" ref="J68" ca="1" si="79">SUM(J65:J67,J63)</f>
        <v>4075.84274353407</v>
      </c>
      <c r="K68">
        <f t="shared" ref="K68" ca="1" si="80">SUM(K65:K67,K63)</f>
        <v>4537.1412919930945</v>
      </c>
      <c r="L68">
        <f t="shared" ref="L68" ca="1" si="81">SUM(L65:L67,L63)</f>
        <v>4923.0311490290223</v>
      </c>
      <c r="M68">
        <f t="shared" ref="M68" ca="1" si="82">SUM(M65:M67,M63)</f>
        <v>5251.5671240851716</v>
      </c>
      <c r="N68">
        <f t="shared" ref="N68" ca="1" si="83">SUM(N65:N67,N63)</f>
        <v>5540.0894101804788</v>
      </c>
      <c r="O68">
        <f t="shared" ref="O68" ca="1" si="84">SUM(O65:O67,O63)</f>
        <v>5720.6688915283867</v>
      </c>
      <c r="P68">
        <f t="shared" ref="P68" ca="1" si="85">SUM(P65:P67,P63)</f>
        <v>5879.7551380011364</v>
      </c>
    </row>
    <row r="69" spans="1:16" ht="15" customHeight="1" x14ac:dyDescent="0.25">
      <c r="A69" s="73"/>
    </row>
    <row r="70" spans="1:16" ht="15" customHeight="1" x14ac:dyDescent="0.25">
      <c r="A70" s="73"/>
      <c r="B70" t="s">
        <v>89</v>
      </c>
      <c r="C70" s="3">
        <v>-416.86507541000003</v>
      </c>
      <c r="D70" s="55">
        <v>-587.13228500000002</v>
      </c>
      <c r="E70" s="55">
        <v>-599.56498699999997</v>
      </c>
      <c r="F70" s="55">
        <v>-612.1</v>
      </c>
      <c r="G70">
        <f ca="1">G19*G68*-1</f>
        <v>-751.46630947138351</v>
      </c>
      <c r="H70">
        <f t="shared" ref="H70:O70" ca="1" si="86">H19*H68*-1</f>
        <v>-825.8289145626685</v>
      </c>
      <c r="I70">
        <f t="shared" ca="1" si="86"/>
        <v>-930.74603872860416</v>
      </c>
      <c r="J70">
        <f t="shared" ca="1" si="86"/>
        <v>-1039.3398996011879</v>
      </c>
      <c r="K70">
        <f t="shared" ca="1" si="86"/>
        <v>-1156.9710294582392</v>
      </c>
      <c r="L70">
        <f t="shared" ca="1" si="86"/>
        <v>-1255.3729430024007</v>
      </c>
      <c r="M70">
        <f t="shared" ca="1" si="86"/>
        <v>-1339.1496166417187</v>
      </c>
      <c r="N70">
        <f t="shared" ca="1" si="86"/>
        <v>-1412.722799596022</v>
      </c>
      <c r="O70">
        <f t="shared" ca="1" si="86"/>
        <v>-1458.7705673397386</v>
      </c>
      <c r="P70">
        <f t="shared" ref="P70" ca="1" si="87">P19*P68*-1</f>
        <v>-1499.3375601902899</v>
      </c>
    </row>
    <row r="71" spans="1:16" ht="15" customHeight="1" x14ac:dyDescent="0.25">
      <c r="A71" s="73"/>
      <c r="B71" t="s">
        <v>72</v>
      </c>
      <c r="C71">
        <f>SUM(C68,C70)</f>
        <v>1202.8599400199992</v>
      </c>
      <c r="D71">
        <f t="shared" ref="D71:G71" si="88">SUM(D68,D70)</f>
        <v>1712.2601579999996</v>
      </c>
      <c r="E71">
        <f t="shared" si="88"/>
        <v>1721.1384729999988</v>
      </c>
      <c r="F71">
        <f t="shared" si="88"/>
        <v>2149.7491827199988</v>
      </c>
      <c r="G71">
        <f t="shared" ca="1" si="88"/>
        <v>2195.4603943379634</v>
      </c>
      <c r="H71">
        <f t="shared" ref="H71" ca="1" si="89">SUM(H68,H70)</f>
        <v>2412.7158484281881</v>
      </c>
      <c r="I71">
        <f t="shared" ref="I71" ca="1" si="90">SUM(I68,I70)</f>
        <v>2719.2384268737651</v>
      </c>
      <c r="J71">
        <f t="shared" ref="J71" ca="1" si="91">SUM(J68,J70)</f>
        <v>3036.5028439328821</v>
      </c>
      <c r="K71">
        <f t="shared" ref="K71" ca="1" si="92">SUM(K68,K70)</f>
        <v>3380.1702625348553</v>
      </c>
      <c r="L71">
        <f t="shared" ref="L71" ca="1" si="93">SUM(L68,L70)</f>
        <v>3667.6582060266219</v>
      </c>
      <c r="M71">
        <f t="shared" ref="M71" ca="1" si="94">SUM(M68,M70)</f>
        <v>3912.4175074434529</v>
      </c>
      <c r="N71">
        <f t="shared" ref="N71" ca="1" si="95">SUM(N68,N70)</f>
        <v>4127.3666105844568</v>
      </c>
      <c r="O71">
        <f t="shared" ref="O71" ca="1" si="96">SUM(O68,O70)</f>
        <v>4261.8983241886481</v>
      </c>
      <c r="P71">
        <f t="shared" ref="P71" ca="1" si="97">SUM(P68,P70)</f>
        <v>4380.4175778108465</v>
      </c>
    </row>
    <row r="72" spans="1:16" ht="15" customHeight="1" x14ac:dyDescent="0.25">
      <c r="A72" s="73"/>
    </row>
    <row r="73" spans="1:16" ht="15" customHeight="1" x14ac:dyDescent="0.25">
      <c r="A73" s="73" t="s">
        <v>90</v>
      </c>
    </row>
    <row r="74" spans="1:16" ht="15" customHeight="1" x14ac:dyDescent="0.25">
      <c r="A74" s="73"/>
      <c r="B74" t="s">
        <v>91</v>
      </c>
      <c r="C74" s="3">
        <v>1082.7166952999999</v>
      </c>
      <c r="D74" s="55">
        <v>1104.475913</v>
      </c>
      <c r="E74" s="55">
        <v>277.82339200000001</v>
      </c>
      <c r="F74" s="55">
        <v>598.1</v>
      </c>
      <c r="G74">
        <f ca="1">MAX(0,G115)</f>
        <v>1217.9469047692533</v>
      </c>
      <c r="H74">
        <f t="shared" ref="H74:O74" ca="1" si="98">MAX(0,H115)</f>
        <v>1466.7257016278829</v>
      </c>
      <c r="I74">
        <f t="shared" ca="1" si="98"/>
        <v>1803.2179238538943</v>
      </c>
      <c r="J74">
        <f t="shared" ca="1" si="98"/>
        <v>2228.4416595421544</v>
      </c>
      <c r="K74">
        <f t="shared" ca="1" si="98"/>
        <v>2740.1323438482286</v>
      </c>
      <c r="L74">
        <f t="shared" ca="1" si="98"/>
        <v>3279.7856545247641</v>
      </c>
      <c r="M74">
        <f t="shared" ca="1" si="98"/>
        <v>3993.7160729622906</v>
      </c>
      <c r="N74">
        <f t="shared" ca="1" si="98"/>
        <v>4752.3042884574788</v>
      </c>
      <c r="O74">
        <f t="shared" ca="1" si="98"/>
        <v>5634.1772831043954</v>
      </c>
      <c r="P74">
        <f t="shared" ref="P74" ca="1" si="99">MAX(0,P115)</f>
        <v>6549.6903480482579</v>
      </c>
    </row>
    <row r="75" spans="1:16" ht="15" customHeight="1" x14ac:dyDescent="0.25">
      <c r="A75" s="73"/>
      <c r="B75" t="s">
        <v>20</v>
      </c>
      <c r="C75" s="3">
        <v>676.06915325</v>
      </c>
      <c r="D75" s="55">
        <v>782.41530799999998</v>
      </c>
      <c r="E75" s="55">
        <v>1089.868905</v>
      </c>
      <c r="F75" s="55">
        <v>1156</v>
      </c>
      <c r="G75">
        <f>G23*G54/365</f>
        <v>1230.3561643835617</v>
      </c>
      <c r="H75">
        <f t="shared" ref="H75:O75" si="100">H23*H54/365</f>
        <v>1336.5479452054794</v>
      </c>
      <c r="I75">
        <f t="shared" si="100"/>
        <v>1416.0146886748037</v>
      </c>
      <c r="J75">
        <f t="shared" si="100"/>
        <v>1533.4388100229319</v>
      </c>
      <c r="K75">
        <f t="shared" si="100"/>
        <v>1651.4764511715425</v>
      </c>
      <c r="L75">
        <f t="shared" si="100"/>
        <v>1774.100612844441</v>
      </c>
      <c r="M75">
        <f t="shared" si="100"/>
        <v>1893.2599266908958</v>
      </c>
      <c r="N75">
        <f t="shared" si="100"/>
        <v>1993.0834602643997</v>
      </c>
      <c r="O75">
        <f t="shared" si="100"/>
        <v>2058.381556295667</v>
      </c>
      <c r="P75">
        <f t="shared" ref="P75" si="101">P23*P54/365</f>
        <v>2111.899476759354</v>
      </c>
    </row>
    <row r="76" spans="1:16" ht="15" customHeight="1" x14ac:dyDescent="0.25">
      <c r="A76" s="73"/>
      <c r="B76" t="s">
        <v>21</v>
      </c>
      <c r="C76" s="3">
        <v>441.44296089000005</v>
      </c>
      <c r="D76" s="55">
        <v>476.64619399999998</v>
      </c>
      <c r="E76" s="55">
        <v>934.57057399999997</v>
      </c>
      <c r="F76" s="55">
        <v>851.8</v>
      </c>
      <c r="G76">
        <f>G24*G55*-1/365</f>
        <v>906.16788182003893</v>
      </c>
      <c r="H76">
        <f t="shared" ref="H76:O76" si="102">H24*H55*-1/365</f>
        <v>984.37904040947672</v>
      </c>
      <c r="I76">
        <f t="shared" si="102"/>
        <v>1034.0538034220106</v>
      </c>
      <c r="J76">
        <f t="shared" si="102"/>
        <v>1114.6920580551312</v>
      </c>
      <c r="K76">
        <f t="shared" si="102"/>
        <v>1181.4408458381035</v>
      </c>
      <c r="L76">
        <f t="shared" si="102"/>
        <v>1269.1642845733309</v>
      </c>
      <c r="M76">
        <f t="shared" si="102"/>
        <v>1354.4090244788717</v>
      </c>
      <c r="N76">
        <f t="shared" si="102"/>
        <v>1425.8212446506861</v>
      </c>
      <c r="O76">
        <f t="shared" si="102"/>
        <v>1472.5344979653617</v>
      </c>
      <c r="P76">
        <f t="shared" ref="P76" si="103">P24*P55*-1/365</f>
        <v>1510.8203949124609</v>
      </c>
    </row>
    <row r="77" spans="1:16" ht="15" customHeight="1" x14ac:dyDescent="0.25">
      <c r="A77" s="73"/>
      <c r="B77" t="s">
        <v>22</v>
      </c>
      <c r="C77" s="3">
        <v>355.13429506</v>
      </c>
      <c r="D77" s="55">
        <v>404.97698400000002</v>
      </c>
      <c r="E77" s="55">
        <v>585.63485700000001</v>
      </c>
      <c r="F77" s="55">
        <v>548.79999999999995</v>
      </c>
      <c r="G77">
        <f>G25*G54</f>
        <v>595.03099999999995</v>
      </c>
      <c r="H77">
        <f t="shared" ref="H77:O77" si="104">H25*H54</f>
        <v>646.38800000000003</v>
      </c>
      <c r="I77">
        <f t="shared" si="104"/>
        <v>689.12714848840449</v>
      </c>
      <c r="J77">
        <f t="shared" si="104"/>
        <v>746.2735542111601</v>
      </c>
      <c r="K77">
        <f t="shared" si="104"/>
        <v>788.26241380918623</v>
      </c>
      <c r="L77">
        <f t="shared" si="104"/>
        <v>846.79186943844275</v>
      </c>
      <c r="M77">
        <f t="shared" si="104"/>
        <v>903.6675265474621</v>
      </c>
      <c r="N77">
        <f t="shared" si="104"/>
        <v>951.31406699543072</v>
      </c>
      <c r="O77">
        <f t="shared" si="104"/>
        <v>982.48135052420093</v>
      </c>
      <c r="P77">
        <f t="shared" ref="P77" si="105">P25*P54</f>
        <v>1008.0258656378301</v>
      </c>
    </row>
    <row r="78" spans="1:16" ht="15" customHeight="1" x14ac:dyDescent="0.25">
      <c r="A78" s="73"/>
      <c r="B78" t="s">
        <v>92</v>
      </c>
      <c r="C78">
        <f>SUM(C74:C77)</f>
        <v>2555.3631045000002</v>
      </c>
      <c r="D78">
        <f t="shared" ref="D78:G78" si="106">SUM(D74:D77)</f>
        <v>2768.5143989999997</v>
      </c>
      <c r="E78">
        <f t="shared" si="106"/>
        <v>2887.8977279999999</v>
      </c>
      <c r="F78">
        <f t="shared" si="106"/>
        <v>3154.7</v>
      </c>
      <c r="G78">
        <f t="shared" ca="1" si="106"/>
        <v>3949.5019509728536</v>
      </c>
      <c r="H78">
        <f t="shared" ref="H78" ca="1" si="107">SUM(H74:H77)</f>
        <v>4434.0406872428393</v>
      </c>
      <c r="I78">
        <f t="shared" ref="I78" ca="1" si="108">SUM(I74:I77)</f>
        <v>4942.4135644391135</v>
      </c>
      <c r="J78">
        <f t="shared" ref="J78" ca="1" si="109">SUM(J74:J77)</f>
        <v>5622.8460818313779</v>
      </c>
      <c r="K78">
        <f t="shared" ref="K78" ca="1" si="110">SUM(K74:K77)</f>
        <v>6361.3120546670607</v>
      </c>
      <c r="L78">
        <f t="shared" ref="L78" ca="1" si="111">SUM(L74:L77)</f>
        <v>7169.8424213809794</v>
      </c>
      <c r="M78">
        <f t="shared" ref="M78" ca="1" si="112">SUM(M74:M77)</f>
        <v>8145.0525506795202</v>
      </c>
      <c r="N78">
        <f t="shared" ref="N78" ca="1" si="113">SUM(N74:N77)</f>
        <v>9122.5230603679956</v>
      </c>
      <c r="O78">
        <f t="shared" ref="O78" ca="1" si="114">SUM(O74:O77)</f>
        <v>10147.574687889624</v>
      </c>
      <c r="P78">
        <f t="shared" ref="P78" ca="1" si="115">SUM(P74:P77)</f>
        <v>11180.436085357904</v>
      </c>
    </row>
    <row r="79" spans="1:16" ht="15" customHeight="1" x14ac:dyDescent="0.25">
      <c r="A79" s="73"/>
    </row>
    <row r="80" spans="1:16" ht="15" customHeight="1" x14ac:dyDescent="0.25">
      <c r="A80" s="73"/>
      <c r="B80" t="s">
        <v>24</v>
      </c>
      <c r="C80" s="3">
        <v>1614.0805172999999</v>
      </c>
      <c r="D80" s="248">
        <f>501.556062+1423.754</f>
        <v>1925.310062</v>
      </c>
      <c r="E80" s="248">
        <f>565.62743+1731.656911</f>
        <v>2297.284341</v>
      </c>
      <c r="F80" s="55">
        <v>2601.1999999999998</v>
      </c>
      <c r="G80">
        <f>G40</f>
        <v>2922.4319999999998</v>
      </c>
      <c r="H80">
        <f t="shared" ref="H80:O80" si="116">H40</f>
        <v>3254.9465599999999</v>
      </c>
      <c r="I80">
        <f t="shared" si="116"/>
        <v>3602.7719159002213</v>
      </c>
      <c r="J80">
        <f t="shared" si="116"/>
        <v>3880.0883894489516</v>
      </c>
      <c r="K80">
        <f t="shared" si="116"/>
        <v>4178.753160422425</v>
      </c>
      <c r="L80">
        <f t="shared" si="116"/>
        <v>4539.5859077976502</v>
      </c>
      <c r="M80">
        <f t="shared" si="116"/>
        <v>4787.7955735325831</v>
      </c>
      <c r="N80">
        <f t="shared" si="116"/>
        <v>5047.6752167624427</v>
      </c>
      <c r="O80">
        <f t="shared" si="116"/>
        <v>5222.5285326046524</v>
      </c>
      <c r="P80">
        <f t="shared" ref="P80" si="117">P40</f>
        <v>5394.9498330257384</v>
      </c>
    </row>
    <row r="81" spans="1:16" ht="15" customHeight="1" x14ac:dyDescent="0.25">
      <c r="A81" s="73"/>
      <c r="B81" t="s">
        <v>93</v>
      </c>
      <c r="C81" s="3">
        <v>523.84919279999997</v>
      </c>
      <c r="D81" s="248">
        <f>420.025524+157.010166+174.441697</f>
        <v>751.47738700000002</v>
      </c>
      <c r="E81" s="248">
        <f>764.563889+214.306234+183.733265</f>
        <v>1162.603388</v>
      </c>
      <c r="F81" s="55">
        <v>1205.8</v>
      </c>
      <c r="G81">
        <f>G27</f>
        <v>1200</v>
      </c>
      <c r="H81">
        <f t="shared" ref="H81:O81" si="118">H27</f>
        <v>1200</v>
      </c>
      <c r="I81">
        <f t="shared" si="118"/>
        <v>1200</v>
      </c>
      <c r="J81">
        <f t="shared" si="118"/>
        <v>1200</v>
      </c>
      <c r="K81">
        <f t="shared" si="118"/>
        <v>1200</v>
      </c>
      <c r="L81">
        <f t="shared" si="118"/>
        <v>1200</v>
      </c>
      <c r="M81">
        <f t="shared" si="118"/>
        <v>1200</v>
      </c>
      <c r="N81">
        <f t="shared" si="118"/>
        <v>1200</v>
      </c>
      <c r="O81">
        <f t="shared" si="118"/>
        <v>1200</v>
      </c>
      <c r="P81">
        <f t="shared" ref="P81" si="119">P27</f>
        <v>1200</v>
      </c>
    </row>
    <row r="82" spans="1:16" ht="15" customHeight="1" x14ac:dyDescent="0.25">
      <c r="A82" s="73"/>
      <c r="B82" t="s">
        <v>94</v>
      </c>
      <c r="C82">
        <f>SUM(C80:C81,C78)</f>
        <v>4693.2928145999995</v>
      </c>
      <c r="D82">
        <f t="shared" ref="D82:G82" si="120">SUM(D80:D81,D78)</f>
        <v>5445.3018479999992</v>
      </c>
      <c r="E82">
        <f t="shared" si="120"/>
        <v>6347.785457</v>
      </c>
      <c r="F82">
        <f t="shared" si="120"/>
        <v>6961.7</v>
      </c>
      <c r="G82">
        <f t="shared" ca="1" si="120"/>
        <v>8071.9339509728534</v>
      </c>
      <c r="H82">
        <f t="shared" ref="H82" ca="1" si="121">SUM(H80:H81,H78)</f>
        <v>8888.9872472428397</v>
      </c>
      <c r="I82">
        <f t="shared" ref="I82" ca="1" si="122">SUM(I80:I81,I78)</f>
        <v>9745.1854803393344</v>
      </c>
      <c r="J82">
        <f t="shared" ref="J82" ca="1" si="123">SUM(J80:J81,J78)</f>
        <v>10702.934471280329</v>
      </c>
      <c r="K82">
        <f t="shared" ref="K82" ca="1" si="124">SUM(K80:K81,K78)</f>
        <v>11740.065215089486</v>
      </c>
      <c r="L82">
        <f t="shared" ref="L82" ca="1" si="125">SUM(L80:L81,L78)</f>
        <v>12909.428329178631</v>
      </c>
      <c r="M82">
        <f t="shared" ref="M82" ca="1" si="126">SUM(M80:M81,M78)</f>
        <v>14132.848124212103</v>
      </c>
      <c r="N82">
        <f t="shared" ref="N82" ca="1" si="127">SUM(N80:N81,N78)</f>
        <v>15370.198277130439</v>
      </c>
      <c r="O82">
        <f t="shared" ref="O82" ca="1" si="128">SUM(O80:O81,O78)</f>
        <v>16570.103220494275</v>
      </c>
      <c r="P82">
        <f t="shared" ref="P82" ca="1" si="129">SUM(P80:P81,P78)</f>
        <v>17775.385918383643</v>
      </c>
    </row>
    <row r="83" spans="1:16" ht="15" customHeight="1" x14ac:dyDescent="0.25">
      <c r="A83" s="73"/>
    </row>
    <row r="84" spans="1:16" ht="15" customHeight="1" x14ac:dyDescent="0.25">
      <c r="A84" s="73"/>
      <c r="B84" t="s">
        <v>95</v>
      </c>
      <c r="C84" s="3">
        <v>0</v>
      </c>
      <c r="D84" s="55">
        <v>0</v>
      </c>
      <c r="E84" s="55">
        <v>0</v>
      </c>
      <c r="F84" s="55">
        <v>0</v>
      </c>
      <c r="G84">
        <f ca="1">-MIN(G115,0)</f>
        <v>0</v>
      </c>
      <c r="H84">
        <f t="shared" ref="H84:O84" ca="1" si="130">-MIN(H115,0)</f>
        <v>0</v>
      </c>
      <c r="I84">
        <f t="shared" ca="1" si="130"/>
        <v>0</v>
      </c>
      <c r="J84">
        <f t="shared" ca="1" si="130"/>
        <v>0</v>
      </c>
      <c r="K84">
        <f t="shared" ca="1" si="130"/>
        <v>0</v>
      </c>
      <c r="L84">
        <f t="shared" ca="1" si="130"/>
        <v>0</v>
      </c>
      <c r="M84">
        <f t="shared" ca="1" si="130"/>
        <v>0</v>
      </c>
      <c r="N84">
        <f t="shared" ca="1" si="130"/>
        <v>0</v>
      </c>
      <c r="O84">
        <f t="shared" ca="1" si="130"/>
        <v>0</v>
      </c>
      <c r="P84">
        <f t="shared" ref="P84" ca="1" si="131">-MIN(P115,0)</f>
        <v>0</v>
      </c>
    </row>
    <row r="85" spans="1:16" ht="15" customHeight="1" x14ac:dyDescent="0.25">
      <c r="A85" s="73"/>
      <c r="B85" t="s">
        <v>23</v>
      </c>
      <c r="C85" s="3">
        <v>1199.67299998</v>
      </c>
      <c r="D85" s="55">
        <v>1588.984412</v>
      </c>
      <c r="E85" s="55">
        <v>2193.9738240000001</v>
      </c>
      <c r="F85" s="55">
        <v>2375.6999999999998</v>
      </c>
      <c r="G85">
        <f>G28*G55*-1/365</f>
        <v>2607.7497932376673</v>
      </c>
      <c r="H85">
        <f t="shared" ref="H85:O85" si="132">H28*H55*-1/365</f>
        <v>2832.8241274006054</v>
      </c>
      <c r="I85">
        <f t="shared" si="132"/>
        <v>3009.2127537786596</v>
      </c>
      <c r="J85">
        <f t="shared" si="132"/>
        <v>3207.8360337364334</v>
      </c>
      <c r="K85">
        <f t="shared" si="132"/>
        <v>3399.9242119118758</v>
      </c>
      <c r="L85">
        <f t="shared" si="132"/>
        <v>3652.3727744943635</v>
      </c>
      <c r="M85">
        <f t="shared" si="132"/>
        <v>3897.6881926669753</v>
      </c>
      <c r="N85">
        <f t="shared" si="132"/>
        <v>4103.1966929391965</v>
      </c>
      <c r="O85">
        <f t="shared" si="132"/>
        <v>4237.6270552558744</v>
      </c>
      <c r="P85">
        <f t="shared" ref="P85" si="133">P28*P55*-1/365</f>
        <v>4347.8053586925262</v>
      </c>
    </row>
    <row r="86" spans="1:16" ht="15" customHeight="1" x14ac:dyDescent="0.25">
      <c r="A86" s="73"/>
      <c r="B86" t="s">
        <v>96</v>
      </c>
      <c r="C86">
        <f>SUM(C84:C85)</f>
        <v>1199.67299998</v>
      </c>
      <c r="D86">
        <f t="shared" ref="D86:G86" si="134">SUM(D84:D85)</f>
        <v>1588.984412</v>
      </c>
      <c r="E86">
        <f t="shared" si="134"/>
        <v>2193.9738240000001</v>
      </c>
      <c r="F86">
        <f t="shared" si="134"/>
        <v>2375.6999999999998</v>
      </c>
      <c r="G86">
        <f t="shared" ca="1" si="134"/>
        <v>2607.7497932376673</v>
      </c>
      <c r="H86">
        <f t="shared" ref="H86" ca="1" si="135">SUM(H84:H85)</f>
        <v>2832.8241274006054</v>
      </c>
      <c r="I86">
        <f t="shared" ref="I86" ca="1" si="136">SUM(I84:I85)</f>
        <v>3009.2127537786596</v>
      </c>
      <c r="J86">
        <f t="shared" ref="J86" ca="1" si="137">SUM(J84:J85)</f>
        <v>3207.8360337364334</v>
      </c>
      <c r="K86">
        <f t="shared" ref="K86" ca="1" si="138">SUM(K84:K85)</f>
        <v>3399.9242119118758</v>
      </c>
      <c r="L86">
        <f t="shared" ref="L86" ca="1" si="139">SUM(L84:L85)</f>
        <v>3652.3727744943635</v>
      </c>
      <c r="M86">
        <f t="shared" ref="M86" ca="1" si="140">SUM(M84:M85)</f>
        <v>3897.6881926669753</v>
      </c>
      <c r="N86">
        <f t="shared" ref="N86" ca="1" si="141">SUM(N84:N85)</f>
        <v>4103.1966929391965</v>
      </c>
      <c r="O86">
        <f t="shared" ref="O86" ca="1" si="142">SUM(O84:O85)</f>
        <v>4237.6270552558744</v>
      </c>
      <c r="P86">
        <f t="shared" ref="P86" ca="1" si="143">SUM(P84:P85)</f>
        <v>4347.8053586925262</v>
      </c>
    </row>
    <row r="87" spans="1:16" ht="15" customHeight="1" x14ac:dyDescent="0.25">
      <c r="A87" s="73"/>
    </row>
    <row r="88" spans="1:16" ht="15" customHeight="1" x14ac:dyDescent="0.25">
      <c r="A88" s="73"/>
      <c r="B88" t="s">
        <v>25</v>
      </c>
      <c r="C88" s="3">
        <v>447.99959537000001</v>
      </c>
      <c r="D88" s="55">
        <v>453.95973099999998</v>
      </c>
      <c r="E88" s="55">
        <v>494.81639799999999</v>
      </c>
      <c r="F88" s="55">
        <v>473.6</v>
      </c>
      <c r="G88">
        <f>G30+F88</f>
        <v>473.6</v>
      </c>
      <c r="H88">
        <f t="shared" ref="H88:P88" si="144">H30+G88</f>
        <v>462.40000000000003</v>
      </c>
      <c r="I88">
        <f t="shared" si="144"/>
        <v>462.40000000000003</v>
      </c>
      <c r="J88">
        <f t="shared" si="144"/>
        <v>462.40000000000003</v>
      </c>
      <c r="K88">
        <f t="shared" si="144"/>
        <v>462.40000000000003</v>
      </c>
      <c r="L88">
        <f t="shared" si="144"/>
        <v>462.40000000000003</v>
      </c>
      <c r="M88">
        <f t="shared" si="144"/>
        <v>462.40000000000003</v>
      </c>
      <c r="N88">
        <f t="shared" si="144"/>
        <v>462.40000000000003</v>
      </c>
      <c r="O88">
        <f t="shared" si="144"/>
        <v>462.40000000000003</v>
      </c>
      <c r="P88">
        <f t="shared" si="144"/>
        <v>462.40000000000003</v>
      </c>
    </row>
    <row r="89" spans="1:16" ht="15" customHeight="1" x14ac:dyDescent="0.25">
      <c r="A89" s="73"/>
      <c r="B89" t="s">
        <v>97</v>
      </c>
      <c r="C89">
        <f>SUM(C88,C86)</f>
        <v>1647.6725953499999</v>
      </c>
      <c r="D89">
        <f t="shared" ref="D89:G89" si="145">SUM(D88,D86)</f>
        <v>2042.9441429999999</v>
      </c>
      <c r="E89">
        <f t="shared" si="145"/>
        <v>2688.7902220000001</v>
      </c>
      <c r="F89">
        <f t="shared" si="145"/>
        <v>2849.2999999999997</v>
      </c>
      <c r="G89">
        <f t="shared" ca="1" si="145"/>
        <v>3081.3497932376672</v>
      </c>
      <c r="H89">
        <f t="shared" ref="H89" ca="1" si="146">SUM(H88,H86)</f>
        <v>3295.2241274006055</v>
      </c>
      <c r="I89">
        <f t="shared" ref="I89" ca="1" si="147">SUM(I88,I86)</f>
        <v>3471.6127537786597</v>
      </c>
      <c r="J89">
        <f t="shared" ref="J89" ca="1" si="148">SUM(J88,J86)</f>
        <v>3670.2360337364335</v>
      </c>
      <c r="K89">
        <f t="shared" ref="K89" ca="1" si="149">SUM(K88,K86)</f>
        <v>3862.3242119118759</v>
      </c>
      <c r="L89">
        <f t="shared" ref="L89" ca="1" si="150">SUM(L88,L86)</f>
        <v>4114.7727744943631</v>
      </c>
      <c r="M89">
        <f t="shared" ref="M89" ca="1" si="151">SUM(M88,M86)</f>
        <v>4360.0881926669754</v>
      </c>
      <c r="N89">
        <f t="shared" ref="N89" ca="1" si="152">SUM(N88,N86)</f>
        <v>4565.5966929391961</v>
      </c>
      <c r="O89">
        <f t="shared" ref="O89" ca="1" si="153">SUM(O88,O86)</f>
        <v>4700.0270552558741</v>
      </c>
      <c r="P89">
        <f t="shared" ref="P89" ca="1" si="154">SUM(P88,P86)</f>
        <v>4810.2053586925258</v>
      </c>
    </row>
    <row r="90" spans="1:16" ht="15" customHeight="1" x14ac:dyDescent="0.25">
      <c r="A90" s="73"/>
    </row>
    <row r="91" spans="1:16" ht="15" customHeight="1" x14ac:dyDescent="0.25">
      <c r="A91" s="73"/>
      <c r="B91" t="s">
        <v>71</v>
      </c>
      <c r="C91" s="3">
        <v>3045.6202192500004</v>
      </c>
      <c r="D91" s="55">
        <v>3402.3577049999999</v>
      </c>
      <c r="E91" s="55">
        <v>3658.9952349999999</v>
      </c>
      <c r="F91" s="55">
        <v>4112.3999999999996</v>
      </c>
      <c r="G91">
        <f ca="1">G46</f>
        <v>4990.5841577351848</v>
      </c>
      <c r="H91">
        <f t="shared" ref="H91:O91" ca="1" si="155">H46</f>
        <v>5593.7631198422314</v>
      </c>
      <c r="I91">
        <f t="shared" ca="1" si="155"/>
        <v>6273.5727265606738</v>
      </c>
      <c r="J91">
        <f t="shared" ca="1" si="155"/>
        <v>7032.6984375438951</v>
      </c>
      <c r="K91">
        <f t="shared" ca="1" si="155"/>
        <v>7877.7410031776089</v>
      </c>
      <c r="L91">
        <f t="shared" ca="1" si="155"/>
        <v>8794.6555546842646</v>
      </c>
      <c r="M91">
        <f t="shared" ca="1" si="155"/>
        <v>9772.759931545128</v>
      </c>
      <c r="N91">
        <f t="shared" ca="1" si="155"/>
        <v>10804.601584191241</v>
      </c>
      <c r="O91">
        <f t="shared" ca="1" si="155"/>
        <v>11870.076165238404</v>
      </c>
      <c r="P91">
        <f t="shared" ref="P91" ca="1" si="156">P46</f>
        <v>12965.180559691114</v>
      </c>
    </row>
    <row r="92" spans="1:16" ht="15" customHeight="1" x14ac:dyDescent="0.25">
      <c r="A92" s="73"/>
      <c r="B92" t="s">
        <v>98</v>
      </c>
      <c r="C92">
        <f>SUM(C91,C89)</f>
        <v>4693.2928146000004</v>
      </c>
      <c r="D92">
        <f t="shared" ref="D92:G92" si="157">SUM(D91,D89)</f>
        <v>5445.3018480000001</v>
      </c>
      <c r="E92">
        <f t="shared" si="157"/>
        <v>6347.785457</v>
      </c>
      <c r="F92">
        <f t="shared" si="157"/>
        <v>6961.6999999999989</v>
      </c>
      <c r="G92">
        <f t="shared" ca="1" si="157"/>
        <v>8071.9339509728525</v>
      </c>
      <c r="H92">
        <f t="shared" ref="H92" ca="1" si="158">SUM(H91,H89)</f>
        <v>8888.987247242836</v>
      </c>
      <c r="I92">
        <f t="shared" ref="I92" ca="1" si="159">SUM(I91,I89)</f>
        <v>9745.1854803393326</v>
      </c>
      <c r="J92">
        <f t="shared" ref="J92" ca="1" si="160">SUM(J91,J89)</f>
        <v>10702.934471280329</v>
      </c>
      <c r="K92">
        <f t="shared" ref="K92" ca="1" si="161">SUM(K91,K89)</f>
        <v>11740.065215089486</v>
      </c>
      <c r="L92">
        <f t="shared" ref="L92" ca="1" si="162">SUM(L91,L89)</f>
        <v>12909.428329178627</v>
      </c>
      <c r="M92">
        <f t="shared" ref="M92" ca="1" si="163">SUM(M91,M89)</f>
        <v>14132.848124212103</v>
      </c>
      <c r="N92">
        <f t="shared" ref="N92" ca="1" si="164">SUM(N91,N89)</f>
        <v>15370.198277130437</v>
      </c>
      <c r="O92">
        <f t="shared" ref="O92" ca="1" si="165">SUM(O91,O89)</f>
        <v>16570.103220494279</v>
      </c>
      <c r="P92">
        <f t="shared" ref="P92" ca="1" si="166">SUM(P91,P89)</f>
        <v>17775.385918383639</v>
      </c>
    </row>
    <row r="93" spans="1:16" ht="15" customHeight="1" x14ac:dyDescent="0.25">
      <c r="A93" s="73"/>
    </row>
    <row r="94" spans="1:16" ht="15" customHeight="1" x14ac:dyDescent="0.25">
      <c r="A94" s="73"/>
      <c r="B94" t="s">
        <v>99</v>
      </c>
      <c r="C94" s="79" t="str">
        <f>IF(ROUND(C92,2)=ROUND(C82,2),"OK",C82-C92)</f>
        <v>OK</v>
      </c>
      <c r="D94" s="79" t="str">
        <f t="shared" ref="D94:O94" si="167">IF(ROUND(D92,2)=ROUND(D82,2),"OK",D82-D92)</f>
        <v>OK</v>
      </c>
      <c r="E94" s="79" t="str">
        <f t="shared" si="167"/>
        <v>OK</v>
      </c>
      <c r="F94" s="79" t="str">
        <f t="shared" si="167"/>
        <v>OK</v>
      </c>
      <c r="G94" s="79" t="str">
        <f t="shared" ca="1" si="167"/>
        <v>OK</v>
      </c>
      <c r="H94" s="79" t="str">
        <f t="shared" ca="1" si="167"/>
        <v>OK</v>
      </c>
      <c r="I94" s="79" t="str">
        <f t="shared" ca="1" si="167"/>
        <v>OK</v>
      </c>
      <c r="J94" s="79" t="str">
        <f t="shared" ca="1" si="167"/>
        <v>OK</v>
      </c>
      <c r="K94" s="79" t="str">
        <f t="shared" ca="1" si="167"/>
        <v>OK</v>
      </c>
      <c r="L94" s="79" t="str">
        <f t="shared" ca="1" si="167"/>
        <v>OK</v>
      </c>
      <c r="M94" s="79" t="str">
        <f t="shared" ca="1" si="167"/>
        <v>OK</v>
      </c>
      <c r="N94" s="79" t="str">
        <f t="shared" ca="1" si="167"/>
        <v>OK</v>
      </c>
      <c r="O94" s="79" t="str">
        <f t="shared" ca="1" si="167"/>
        <v>OK</v>
      </c>
      <c r="P94" s="79" t="str">
        <f t="shared" ref="P94" ca="1" si="168">IF(ROUND(P92,2)=ROUND(P82,2),"OK",P82-P92)</f>
        <v>OK</v>
      </c>
    </row>
    <row r="95" spans="1:16" ht="15" customHeight="1" x14ac:dyDescent="0.25">
      <c r="A95" s="73"/>
    </row>
    <row r="96" spans="1:16" ht="15" customHeight="1" x14ac:dyDescent="0.25">
      <c r="A96" s="73" t="s">
        <v>100</v>
      </c>
    </row>
    <row r="97" spans="1:16" ht="15" customHeight="1" x14ac:dyDescent="0.25">
      <c r="A97" s="73"/>
      <c r="B97" t="s">
        <v>72</v>
      </c>
      <c r="G97">
        <f ca="1">G71</f>
        <v>2195.4603943379634</v>
      </c>
      <c r="H97">
        <f t="shared" ref="H97:O97" ca="1" si="169">H71</f>
        <v>2412.7158484281881</v>
      </c>
      <c r="I97">
        <f t="shared" ca="1" si="169"/>
        <v>2719.2384268737651</v>
      </c>
      <c r="J97">
        <f t="shared" ca="1" si="169"/>
        <v>3036.5028439328821</v>
      </c>
      <c r="K97">
        <f t="shared" ca="1" si="169"/>
        <v>3380.1702625348553</v>
      </c>
      <c r="L97">
        <f t="shared" ca="1" si="169"/>
        <v>3667.6582060266219</v>
      </c>
      <c r="M97">
        <f t="shared" ca="1" si="169"/>
        <v>3912.4175074434529</v>
      </c>
      <c r="N97">
        <f t="shared" ca="1" si="169"/>
        <v>4127.3666105844568</v>
      </c>
      <c r="O97">
        <f t="shared" ca="1" si="169"/>
        <v>4261.8983241886481</v>
      </c>
      <c r="P97">
        <f t="shared" ref="P97" ca="1" si="170">P71</f>
        <v>4380.4175778108465</v>
      </c>
    </row>
    <row r="98" spans="1:16" ht="15" customHeight="1" x14ac:dyDescent="0.25">
      <c r="A98" s="73"/>
      <c r="B98" t="str">
        <f>B62</f>
        <v>Depreciation</v>
      </c>
      <c r="G98">
        <f>G62*-1</f>
        <v>442.20400000000001</v>
      </c>
      <c r="H98">
        <f t="shared" ref="H98:O98" si="171">H62*-1</f>
        <v>496.81344000000001</v>
      </c>
      <c r="I98">
        <f t="shared" si="171"/>
        <v>553.34091520000004</v>
      </c>
      <c r="J98">
        <f t="shared" si="171"/>
        <v>612.4712257030377</v>
      </c>
      <c r="K98">
        <f t="shared" si="171"/>
        <v>659.61502620632177</v>
      </c>
      <c r="L98">
        <f t="shared" si="171"/>
        <v>668.60050566758798</v>
      </c>
      <c r="M98">
        <f t="shared" si="171"/>
        <v>726.33374524762405</v>
      </c>
      <c r="N98">
        <f t="shared" si="171"/>
        <v>766.04729176521334</v>
      </c>
      <c r="O98">
        <f t="shared" si="171"/>
        <v>807.62803468199081</v>
      </c>
      <c r="P98">
        <f t="shared" ref="P98" si="172">P62*-1</f>
        <v>835.60456521674439</v>
      </c>
    </row>
    <row r="99" spans="1:16" ht="15" customHeight="1" x14ac:dyDescent="0.25">
      <c r="A99" s="73"/>
      <c r="B99" t="s">
        <v>101</v>
      </c>
      <c r="G99">
        <f>F75-G75</f>
        <v>-74.356164383561691</v>
      </c>
      <c r="H99">
        <f t="shared" ref="H99:P99" si="173">G75-H75</f>
        <v>-106.19178082191775</v>
      </c>
      <c r="I99">
        <f t="shared" si="173"/>
        <v>-79.466743469324228</v>
      </c>
      <c r="J99">
        <f t="shared" si="173"/>
        <v>-117.42412134812821</v>
      </c>
      <c r="K99">
        <f t="shared" si="173"/>
        <v>-118.03764114861065</v>
      </c>
      <c r="L99">
        <f t="shared" si="173"/>
        <v>-122.62416167289848</v>
      </c>
      <c r="M99">
        <f t="shared" si="173"/>
        <v>-119.15931384645478</v>
      </c>
      <c r="N99">
        <f t="shared" si="173"/>
        <v>-99.823533573503937</v>
      </c>
      <c r="O99">
        <f t="shared" si="173"/>
        <v>-65.298096031267278</v>
      </c>
      <c r="P99">
        <f t="shared" si="173"/>
        <v>-53.517920463687005</v>
      </c>
    </row>
    <row r="100" spans="1:16" ht="15" customHeight="1" x14ac:dyDescent="0.25">
      <c r="A100" s="73"/>
      <c r="B100" t="s">
        <v>102</v>
      </c>
      <c r="G100">
        <f>F76-G76</f>
        <v>-54.367881820038974</v>
      </c>
      <c r="H100">
        <f t="shared" ref="H100:P100" si="174">G76-H76</f>
        <v>-78.211158589437787</v>
      </c>
      <c r="I100">
        <f t="shared" si="174"/>
        <v>-49.674763012533845</v>
      </c>
      <c r="J100">
        <f t="shared" si="174"/>
        <v>-80.638254633120596</v>
      </c>
      <c r="K100">
        <f t="shared" si="174"/>
        <v>-66.748787782972386</v>
      </c>
      <c r="L100">
        <f t="shared" si="174"/>
        <v>-87.723438735227319</v>
      </c>
      <c r="M100">
        <f t="shared" si="174"/>
        <v>-85.244739905540882</v>
      </c>
      <c r="N100">
        <f t="shared" si="174"/>
        <v>-71.412220171814397</v>
      </c>
      <c r="O100">
        <f t="shared" si="174"/>
        <v>-46.713253314675512</v>
      </c>
      <c r="P100">
        <f t="shared" si="174"/>
        <v>-38.285896947099218</v>
      </c>
    </row>
    <row r="101" spans="1:16" ht="15" customHeight="1" x14ac:dyDescent="0.25">
      <c r="A101" s="73"/>
      <c r="B101" t="s">
        <v>103</v>
      </c>
      <c r="G101">
        <f>F77-G77</f>
        <v>-46.230999999999995</v>
      </c>
      <c r="H101">
        <f t="shared" ref="H101:P101" si="175">G77-H77</f>
        <v>-51.357000000000085</v>
      </c>
      <c r="I101">
        <f t="shared" si="175"/>
        <v>-42.739148488404453</v>
      </c>
      <c r="J101">
        <f t="shared" si="175"/>
        <v>-57.146405722755617</v>
      </c>
      <c r="K101">
        <f t="shared" si="175"/>
        <v>-41.988859598026124</v>
      </c>
      <c r="L101">
        <f t="shared" si="175"/>
        <v>-58.529455629256518</v>
      </c>
      <c r="M101">
        <f t="shared" si="175"/>
        <v>-56.875657109019357</v>
      </c>
      <c r="N101">
        <f t="shared" si="175"/>
        <v>-47.646540447968619</v>
      </c>
      <c r="O101">
        <f t="shared" si="175"/>
        <v>-31.167283528770213</v>
      </c>
      <c r="P101">
        <f t="shared" si="175"/>
        <v>-25.544515113629132</v>
      </c>
    </row>
    <row r="102" spans="1:16" ht="15" customHeight="1" x14ac:dyDescent="0.25">
      <c r="A102" s="73"/>
      <c r="B102" t="s">
        <v>104</v>
      </c>
      <c r="G102">
        <f>G85-F85</f>
        <v>232.04979323766747</v>
      </c>
      <c r="H102">
        <f t="shared" ref="H102:P102" si="176">H85-G85</f>
        <v>225.07433416293816</v>
      </c>
      <c r="I102">
        <f t="shared" si="176"/>
        <v>176.38862637805414</v>
      </c>
      <c r="J102">
        <f t="shared" si="176"/>
        <v>198.62327995777378</v>
      </c>
      <c r="K102">
        <f t="shared" si="176"/>
        <v>192.08817817544241</v>
      </c>
      <c r="L102">
        <f t="shared" si="176"/>
        <v>252.44856258248774</v>
      </c>
      <c r="M102">
        <f t="shared" si="176"/>
        <v>245.31541817261177</v>
      </c>
      <c r="N102">
        <f t="shared" si="176"/>
        <v>205.50850027222123</v>
      </c>
      <c r="O102">
        <f t="shared" si="176"/>
        <v>134.43036231667793</v>
      </c>
      <c r="P102">
        <f t="shared" si="176"/>
        <v>110.17830343665173</v>
      </c>
    </row>
    <row r="103" spans="1:16" ht="15" customHeight="1" x14ac:dyDescent="0.25">
      <c r="A103" s="73"/>
      <c r="B103" t="s">
        <v>105</v>
      </c>
      <c r="G103">
        <f ca="1">SUM(G97:G102)</f>
        <v>2694.7591413720311</v>
      </c>
      <c r="H103">
        <f t="shared" ref="H103:O103" ca="1" si="177">SUM(H97:H102)</f>
        <v>2898.8436831797708</v>
      </c>
      <c r="I103">
        <f t="shared" ca="1" si="177"/>
        <v>3277.0873134815565</v>
      </c>
      <c r="J103">
        <f t="shared" ca="1" si="177"/>
        <v>3592.3885678896895</v>
      </c>
      <c r="K103">
        <f t="shared" ca="1" si="177"/>
        <v>4005.0981783870106</v>
      </c>
      <c r="L103">
        <f t="shared" ca="1" si="177"/>
        <v>4319.8302182393145</v>
      </c>
      <c r="M103">
        <f t="shared" ca="1" si="177"/>
        <v>4622.7869600026734</v>
      </c>
      <c r="N103">
        <f t="shared" ca="1" si="177"/>
        <v>4880.0401084286041</v>
      </c>
      <c r="O103">
        <f t="shared" ca="1" si="177"/>
        <v>5060.7780883126034</v>
      </c>
      <c r="P103">
        <f t="shared" ref="P103" ca="1" si="178">SUM(P97:P102)</f>
        <v>5208.8521139398272</v>
      </c>
    </row>
    <row r="104" spans="1:16" ht="15" customHeight="1" x14ac:dyDescent="0.25">
      <c r="A104" s="73"/>
    </row>
    <row r="105" spans="1:16" ht="15" customHeight="1" x14ac:dyDescent="0.25">
      <c r="A105" s="73"/>
      <c r="B105" t="s">
        <v>106</v>
      </c>
      <c r="G105">
        <f>G38*-1</f>
        <v>-763.43600000000004</v>
      </c>
      <c r="H105">
        <f t="shared" ref="H105:O105" si="179">H38*-1</f>
        <v>-829.32800000000009</v>
      </c>
      <c r="I105">
        <f t="shared" si="179"/>
        <v>-901.16627110022137</v>
      </c>
      <c r="J105">
        <f t="shared" si="179"/>
        <v>-889.78769925176789</v>
      </c>
      <c r="K105">
        <f t="shared" si="179"/>
        <v>-958.27979717979508</v>
      </c>
      <c r="L105">
        <f t="shared" si="179"/>
        <v>-1029.4332530428128</v>
      </c>
      <c r="M105">
        <f t="shared" si="179"/>
        <v>-974.54341098255713</v>
      </c>
      <c r="N105">
        <f t="shared" si="179"/>
        <v>-1025.9269349950725</v>
      </c>
      <c r="O105">
        <f t="shared" si="179"/>
        <v>-982.48135052420093</v>
      </c>
      <c r="P105">
        <f t="shared" ref="P105" si="180">P38*-1</f>
        <v>-1008.0258656378301</v>
      </c>
    </row>
    <row r="106" spans="1:16" ht="15" customHeight="1" x14ac:dyDescent="0.25">
      <c r="A106" s="73"/>
      <c r="B106" t="s">
        <v>107</v>
      </c>
      <c r="G106">
        <f>F81-G81</f>
        <v>5.7999999999999545</v>
      </c>
      <c r="H106">
        <f t="shared" ref="H106:P106" si="181">G81-H81</f>
        <v>0</v>
      </c>
      <c r="I106">
        <f t="shared" si="181"/>
        <v>0</v>
      </c>
      <c r="J106">
        <f t="shared" si="181"/>
        <v>0</v>
      </c>
      <c r="K106">
        <f t="shared" si="181"/>
        <v>0</v>
      </c>
      <c r="L106">
        <f t="shared" si="181"/>
        <v>0</v>
      </c>
      <c r="M106">
        <f t="shared" si="181"/>
        <v>0</v>
      </c>
      <c r="N106">
        <f t="shared" si="181"/>
        <v>0</v>
      </c>
      <c r="O106">
        <f t="shared" si="181"/>
        <v>0</v>
      </c>
      <c r="P106">
        <f t="shared" si="181"/>
        <v>0</v>
      </c>
    </row>
    <row r="107" spans="1:16" ht="15" customHeight="1" x14ac:dyDescent="0.25">
      <c r="A107" s="73"/>
      <c r="B107" t="s">
        <v>108</v>
      </c>
      <c r="G107">
        <f>SUM(G105:G106)</f>
        <v>-757.63600000000008</v>
      </c>
      <c r="H107">
        <f t="shared" ref="H107:O107" si="182">SUM(H105:H106)</f>
        <v>-829.32800000000009</v>
      </c>
      <c r="I107">
        <f t="shared" si="182"/>
        <v>-901.16627110022137</v>
      </c>
      <c r="J107">
        <f t="shared" si="182"/>
        <v>-889.78769925176789</v>
      </c>
      <c r="K107">
        <f t="shared" si="182"/>
        <v>-958.27979717979508</v>
      </c>
      <c r="L107">
        <f t="shared" si="182"/>
        <v>-1029.4332530428128</v>
      </c>
      <c r="M107">
        <f t="shared" si="182"/>
        <v>-974.54341098255713</v>
      </c>
      <c r="N107">
        <f t="shared" si="182"/>
        <v>-1025.9269349950725</v>
      </c>
      <c r="O107">
        <f t="shared" si="182"/>
        <v>-982.48135052420093</v>
      </c>
      <c r="P107">
        <f t="shared" ref="P107" si="183">SUM(P105:P106)</f>
        <v>-1008.0258656378301</v>
      </c>
    </row>
    <row r="108" spans="1:16" ht="15" customHeight="1" x14ac:dyDescent="0.25">
      <c r="A108" s="73"/>
    </row>
    <row r="109" spans="1:16" ht="15" customHeight="1" x14ac:dyDescent="0.25">
      <c r="A109" s="73"/>
      <c r="B109" t="s">
        <v>73</v>
      </c>
      <c r="G109">
        <f ca="1">G45</f>
        <v>-1317.276236602778</v>
      </c>
      <c r="H109">
        <f t="shared" ref="H109:O109" ca="1" si="184">H45</f>
        <v>-1809.5368863211411</v>
      </c>
      <c r="I109">
        <f t="shared" ca="1" si="184"/>
        <v>-2039.4288201553238</v>
      </c>
      <c r="J109">
        <f t="shared" ca="1" si="184"/>
        <v>-2277.3771329496617</v>
      </c>
      <c r="K109">
        <f t="shared" ca="1" si="184"/>
        <v>-2535.1276969011415</v>
      </c>
      <c r="L109">
        <f t="shared" ca="1" si="184"/>
        <v>-2750.7436545199662</v>
      </c>
      <c r="M109">
        <f t="shared" ca="1" si="184"/>
        <v>-2934.3131305825896</v>
      </c>
      <c r="N109">
        <f t="shared" ca="1" si="184"/>
        <v>-3095.5249579383426</v>
      </c>
      <c r="O109">
        <f t="shared" ca="1" si="184"/>
        <v>-3196.4237431414858</v>
      </c>
      <c r="P109">
        <f t="shared" ref="P109" ca="1" si="185">P45</f>
        <v>-3285.3131833581347</v>
      </c>
    </row>
    <row r="110" spans="1:16" ht="15" customHeight="1" x14ac:dyDescent="0.25">
      <c r="A110" s="73"/>
      <c r="B110" t="s">
        <v>109</v>
      </c>
      <c r="G110">
        <f>G88-F88</f>
        <v>0</v>
      </c>
      <c r="H110">
        <f t="shared" ref="H110:P110" si="186">H88-G88</f>
        <v>-11.199999999999989</v>
      </c>
      <c r="I110">
        <f t="shared" si="186"/>
        <v>0</v>
      </c>
      <c r="J110">
        <f t="shared" si="186"/>
        <v>0</v>
      </c>
      <c r="K110">
        <f t="shared" si="186"/>
        <v>0</v>
      </c>
      <c r="L110">
        <f t="shared" si="186"/>
        <v>0</v>
      </c>
      <c r="M110">
        <f t="shared" si="186"/>
        <v>0</v>
      </c>
      <c r="N110">
        <f t="shared" si="186"/>
        <v>0</v>
      </c>
      <c r="O110">
        <f t="shared" si="186"/>
        <v>0</v>
      </c>
      <c r="P110">
        <f t="shared" si="186"/>
        <v>0</v>
      </c>
    </row>
    <row r="111" spans="1:16" ht="15" customHeight="1" x14ac:dyDescent="0.25">
      <c r="A111" s="73"/>
      <c r="B111" t="s">
        <v>110</v>
      </c>
      <c r="G111">
        <f ca="1">SUM(G109:G110)</f>
        <v>-1317.276236602778</v>
      </c>
      <c r="H111">
        <f t="shared" ref="H111:O111" ca="1" si="187">SUM(H109:H110)</f>
        <v>-1820.7368863211411</v>
      </c>
      <c r="I111">
        <f t="shared" ca="1" si="187"/>
        <v>-2039.4288201553238</v>
      </c>
      <c r="J111">
        <f t="shared" ca="1" si="187"/>
        <v>-2277.3771329496617</v>
      </c>
      <c r="K111">
        <f t="shared" ca="1" si="187"/>
        <v>-2535.1276969011415</v>
      </c>
      <c r="L111">
        <f t="shared" ca="1" si="187"/>
        <v>-2750.7436545199662</v>
      </c>
      <c r="M111">
        <f t="shared" ca="1" si="187"/>
        <v>-2934.3131305825896</v>
      </c>
      <c r="N111">
        <f t="shared" ca="1" si="187"/>
        <v>-3095.5249579383426</v>
      </c>
      <c r="O111">
        <f t="shared" ca="1" si="187"/>
        <v>-3196.4237431414858</v>
      </c>
      <c r="P111">
        <f t="shared" ref="P111" ca="1" si="188">SUM(P109:P110)</f>
        <v>-3285.3131833581347</v>
      </c>
    </row>
    <row r="112" spans="1:16" ht="15" customHeight="1" x14ac:dyDescent="0.25">
      <c r="A112" s="73"/>
    </row>
    <row r="113" spans="1:16" ht="15" customHeight="1" x14ac:dyDescent="0.25">
      <c r="A113" s="73"/>
      <c r="B113" t="s">
        <v>111</v>
      </c>
      <c r="G113">
        <f>F115</f>
        <v>598.1</v>
      </c>
      <c r="H113">
        <f t="shared" ref="H113:P113" ca="1" si="189">G115</f>
        <v>1217.9469047692533</v>
      </c>
      <c r="I113">
        <f t="shared" ca="1" si="189"/>
        <v>1466.7257016278829</v>
      </c>
      <c r="J113">
        <f t="shared" ca="1" si="189"/>
        <v>1803.2179238538943</v>
      </c>
      <c r="K113">
        <f t="shared" ca="1" si="189"/>
        <v>2228.4416595421544</v>
      </c>
      <c r="L113">
        <f t="shared" ca="1" si="189"/>
        <v>2740.1323438482286</v>
      </c>
      <c r="M113">
        <f t="shared" ca="1" si="189"/>
        <v>3279.7856545247641</v>
      </c>
      <c r="N113">
        <f t="shared" ca="1" si="189"/>
        <v>3993.7160729622906</v>
      </c>
      <c r="O113">
        <f t="shared" ca="1" si="189"/>
        <v>4752.3042884574788</v>
      </c>
      <c r="P113">
        <f t="shared" ca="1" si="189"/>
        <v>5634.1772831043954</v>
      </c>
    </row>
    <row r="114" spans="1:16" ht="15" customHeight="1" x14ac:dyDescent="0.25">
      <c r="A114" s="73"/>
      <c r="B114" t="s">
        <v>112</v>
      </c>
      <c r="G114">
        <f ca="1">SUM(G103,G107,G111)</f>
        <v>619.84690476925311</v>
      </c>
      <c r="H114">
        <f t="shared" ref="H114:O114" ca="1" si="190">SUM(H103,H107,H111)</f>
        <v>248.77879685862968</v>
      </c>
      <c r="I114">
        <f t="shared" ca="1" si="190"/>
        <v>336.49222222601134</v>
      </c>
      <c r="J114">
        <f t="shared" ca="1" si="190"/>
        <v>425.22373568826015</v>
      </c>
      <c r="K114">
        <f t="shared" ca="1" si="190"/>
        <v>511.69068430607422</v>
      </c>
      <c r="L114">
        <f t="shared" ca="1" si="190"/>
        <v>539.65331067653551</v>
      </c>
      <c r="M114">
        <f t="shared" ca="1" si="190"/>
        <v>713.93041843752644</v>
      </c>
      <c r="N114">
        <f t="shared" ca="1" si="190"/>
        <v>758.58821549518871</v>
      </c>
      <c r="O114">
        <f t="shared" ca="1" si="190"/>
        <v>881.8729946469166</v>
      </c>
      <c r="P114">
        <f t="shared" ref="P114" ca="1" si="191">SUM(P103,P107,P111)</f>
        <v>915.51306494386245</v>
      </c>
    </row>
    <row r="115" spans="1:16" ht="15" customHeight="1" x14ac:dyDescent="0.25">
      <c r="A115" s="73"/>
      <c r="B115" t="s">
        <v>113</v>
      </c>
      <c r="E115" s="43"/>
      <c r="F115">
        <f>F74-F84</f>
        <v>598.1</v>
      </c>
      <c r="G115">
        <f ca="1">SUM(G113:G114)</f>
        <v>1217.9469047692533</v>
      </c>
      <c r="H115">
        <f t="shared" ref="H115:O115" ca="1" si="192">SUM(H113:H114)</f>
        <v>1466.7257016278829</v>
      </c>
      <c r="I115">
        <f t="shared" ca="1" si="192"/>
        <v>1803.2179238538943</v>
      </c>
      <c r="J115">
        <f t="shared" ca="1" si="192"/>
        <v>2228.4416595421544</v>
      </c>
      <c r="K115">
        <f t="shared" ca="1" si="192"/>
        <v>2740.1323438482286</v>
      </c>
      <c r="L115">
        <f t="shared" ca="1" si="192"/>
        <v>3279.7856545247641</v>
      </c>
      <c r="M115">
        <f t="shared" ca="1" si="192"/>
        <v>3993.7160729622906</v>
      </c>
      <c r="N115">
        <f t="shared" ca="1" si="192"/>
        <v>4752.3042884574788</v>
      </c>
      <c r="O115">
        <f t="shared" ca="1" si="192"/>
        <v>5634.1772831043954</v>
      </c>
      <c r="P115">
        <f t="shared" ref="P115" ca="1" si="193">SUM(P113:P114)</f>
        <v>6549.6903480482579</v>
      </c>
    </row>
    <row r="116" spans="1:16" ht="15" customHeight="1" x14ac:dyDescent="0.25">
      <c r="A116" s="73"/>
    </row>
    <row r="117" spans="1:16" ht="15" customHeight="1" x14ac:dyDescent="0.25">
      <c r="A117" s="73" t="s">
        <v>114</v>
      </c>
    </row>
    <row r="118" spans="1:16" ht="15" customHeight="1" x14ac:dyDescent="0.25">
      <c r="A118" s="73"/>
      <c r="B118" t="s">
        <v>115</v>
      </c>
      <c r="G118">
        <f ca="1">AVERAGE(F84:G84)*G31*-1</f>
        <v>0</v>
      </c>
      <c r="H118">
        <f t="shared" ref="H118:P118" ca="1" si="194">AVERAGE(G84:H84)*H31*-1</f>
        <v>0</v>
      </c>
      <c r="I118">
        <f t="shared" ca="1" si="194"/>
        <v>0</v>
      </c>
      <c r="J118">
        <f t="shared" ca="1" si="194"/>
        <v>0</v>
      </c>
      <c r="K118">
        <f t="shared" ca="1" si="194"/>
        <v>0</v>
      </c>
      <c r="L118">
        <f t="shared" ca="1" si="194"/>
        <v>0</v>
      </c>
      <c r="M118">
        <f t="shared" ca="1" si="194"/>
        <v>0</v>
      </c>
      <c r="N118">
        <f t="shared" ca="1" si="194"/>
        <v>0</v>
      </c>
      <c r="O118">
        <f t="shared" ca="1" si="194"/>
        <v>0</v>
      </c>
      <c r="P118">
        <f t="shared" ca="1" si="194"/>
        <v>0</v>
      </c>
    </row>
    <row r="119" spans="1:16" ht="15" customHeight="1" x14ac:dyDescent="0.25">
      <c r="A119" s="73"/>
      <c r="B119" t="s">
        <v>116</v>
      </c>
      <c r="G119">
        <f>AVERAGE(F88:G88)*G32*-1</f>
        <v>-28.416</v>
      </c>
      <c r="H119">
        <f t="shared" ref="H119:P119" si="195">AVERAGE(G88:H88)*H32*-1</f>
        <v>-28.08</v>
      </c>
      <c r="I119">
        <f t="shared" si="195"/>
        <v>-27.744</v>
      </c>
      <c r="J119">
        <f t="shared" si="195"/>
        <v>-27.744</v>
      </c>
      <c r="K119">
        <f t="shared" si="195"/>
        <v>-27.744</v>
      </c>
      <c r="L119">
        <f t="shared" si="195"/>
        <v>-27.744</v>
      </c>
      <c r="M119">
        <f t="shared" si="195"/>
        <v>-27.744</v>
      </c>
      <c r="N119">
        <f t="shared" si="195"/>
        <v>-27.744</v>
      </c>
      <c r="O119">
        <f t="shared" si="195"/>
        <v>-27.744</v>
      </c>
      <c r="P119">
        <f t="shared" si="195"/>
        <v>-27.744</v>
      </c>
    </row>
    <row r="120" spans="1:16" ht="15" customHeight="1" x14ac:dyDescent="0.25">
      <c r="A120" s="73"/>
      <c r="B120" t="s">
        <v>117</v>
      </c>
      <c r="G120">
        <f ca="1">AVERAGE(F74:G74)*G33</f>
        <v>34.504891190615808</v>
      </c>
      <c r="H120">
        <f t="shared" ref="H120:P120" ca="1" si="196">AVERAGE(G74:H74)*H33</f>
        <v>40.270089095957047</v>
      </c>
      <c r="I120">
        <f t="shared" ca="1" si="196"/>
        <v>49.049154382226661</v>
      </c>
      <c r="J120">
        <f t="shared" ca="1" si="196"/>
        <v>44.348255417356533</v>
      </c>
      <c r="K120">
        <f t="shared" ca="1" si="196"/>
        <v>54.654314037294213</v>
      </c>
      <c r="L120">
        <f t="shared" ca="1" si="196"/>
        <v>66.219097982102923</v>
      </c>
      <c r="M120">
        <f t="shared" ca="1" si="196"/>
        <v>80.008519002357602</v>
      </c>
      <c r="N120">
        <f t="shared" ca="1" si="196"/>
        <v>96.206223975617448</v>
      </c>
      <c r="O120">
        <f t="shared" ca="1" si="196"/>
        <v>114.25129728718062</v>
      </c>
      <c r="P120">
        <f t="shared" ca="1" si="196"/>
        <v>134.02254394267919</v>
      </c>
    </row>
    <row r="121" spans="1:16" ht="15" customHeight="1" x14ac:dyDescent="0.25">
      <c r="A121" s="73"/>
    </row>
    <row r="122" spans="1:16" ht="15" customHeight="1" x14ac:dyDescent="0.25">
      <c r="A122" s="73" t="s">
        <v>118</v>
      </c>
    </row>
    <row r="123" spans="1:16" ht="15" customHeight="1" x14ac:dyDescent="0.25">
      <c r="A123" s="73"/>
      <c r="B123" t="s">
        <v>32</v>
      </c>
      <c r="C123" s="63">
        <f t="shared" ref="C123:O123" si="197">C63/C54</f>
        <v>0.25719757428300577</v>
      </c>
      <c r="D123" s="63">
        <f t="shared" si="197"/>
        <v>0.28954656283225277</v>
      </c>
      <c r="E123" s="63">
        <f t="shared" si="197"/>
        <v>0.23662790413466936</v>
      </c>
      <c r="F123" s="63">
        <f t="shared" si="197"/>
        <v>0.25905365116278278</v>
      </c>
      <c r="G123" s="63">
        <f t="shared" si="197"/>
        <v>0.26127530173855273</v>
      </c>
      <c r="H123" s="63">
        <f t="shared" si="197"/>
        <v>0.26392708050958508</v>
      </c>
      <c r="I123" s="63">
        <f t="shared" si="197"/>
        <v>0.27324612678006521</v>
      </c>
      <c r="J123" s="63">
        <f t="shared" si="197"/>
        <v>0.28232328506505494</v>
      </c>
      <c r="K123" s="63">
        <f t="shared" si="197"/>
        <v>0.29132339161782528</v>
      </c>
      <c r="L123" s="63">
        <f t="shared" si="197"/>
        <v>0.29373198725719962</v>
      </c>
      <c r="M123" s="63">
        <f t="shared" si="197"/>
        <v>0.29300813084525146</v>
      </c>
      <c r="N123" s="63">
        <f t="shared" si="197"/>
        <v>0.29293216211611678</v>
      </c>
      <c r="O123" s="63">
        <f t="shared" si="197"/>
        <v>0.29207652761367398</v>
      </c>
      <c r="P123" s="63">
        <f t="shared" ref="P123" si="198">P63/P54</f>
        <v>0.2917234729000841</v>
      </c>
    </row>
    <row r="124" spans="1:16" ht="15" customHeight="1" x14ac:dyDescent="0.25">
      <c r="A124" s="73"/>
      <c r="B124" t="s">
        <v>33</v>
      </c>
      <c r="C124" s="63">
        <f t="shared" ref="C124:O124" si="199">C60/C54</f>
        <v>0.30701624262159583</v>
      </c>
      <c r="D124" s="63">
        <f t="shared" si="199"/>
        <v>0.3265852614542597</v>
      </c>
      <c r="E124" s="63">
        <f t="shared" si="199"/>
        <v>0.27718000506758794</v>
      </c>
      <c r="F124" s="63">
        <f t="shared" si="199"/>
        <v>0.29695401561856194</v>
      </c>
      <c r="G124" s="63">
        <f t="shared" si="199"/>
        <v>0.30066284961420964</v>
      </c>
      <c r="H124" s="63">
        <f t="shared" si="199"/>
        <v>0.30466284961420953</v>
      </c>
      <c r="I124" s="63">
        <f t="shared" si="199"/>
        <v>0.315</v>
      </c>
      <c r="J124" s="63">
        <f t="shared" si="199"/>
        <v>0.32500000000000001</v>
      </c>
      <c r="K124" s="63">
        <f t="shared" si="199"/>
        <v>0.33400000000000002</v>
      </c>
      <c r="L124" s="63">
        <f t="shared" si="199"/>
        <v>0.33399999999999996</v>
      </c>
      <c r="M124" s="63">
        <f t="shared" si="199"/>
        <v>0.33400000000000002</v>
      </c>
      <c r="N124" s="63">
        <f t="shared" si="199"/>
        <v>0.33399999999999991</v>
      </c>
      <c r="O124" s="63">
        <f t="shared" si="199"/>
        <v>0.33399999999999991</v>
      </c>
      <c r="P124" s="63">
        <f t="shared" ref="P124" si="200">P60/P54</f>
        <v>0.33400000000000002</v>
      </c>
    </row>
    <row r="125" spans="1:16" ht="15" customHeight="1" x14ac:dyDescent="0.25">
      <c r="A125" s="73"/>
      <c r="B125" t="s">
        <v>119</v>
      </c>
      <c r="C125" s="63">
        <f t="shared" ref="C125:O125" si="201">C71/C54</f>
        <v>0.19070925845518194</v>
      </c>
      <c r="D125" s="63">
        <f t="shared" si="201"/>
        <v>0.21908152748495568</v>
      </c>
      <c r="E125" s="63">
        <f t="shared" si="201"/>
        <v>0.17772621767458133</v>
      </c>
      <c r="F125" s="63">
        <f t="shared" si="201"/>
        <v>0.20369069378400337</v>
      </c>
      <c r="G125" s="63">
        <f t="shared" ca="1" si="201"/>
        <v>0.19555182990451264</v>
      </c>
      <c r="H125" s="63">
        <f t="shared" ca="1" si="201"/>
        <v>0.19782845592228501</v>
      </c>
      <c r="I125" s="63">
        <f t="shared" ca="1" si="201"/>
        <v>0.20518767618950517</v>
      </c>
      <c r="J125" s="63">
        <f t="shared" ca="1" si="201"/>
        <v>0.21158212962727091</v>
      </c>
      <c r="K125" s="63">
        <f t="shared" ca="1" si="201"/>
        <v>0.218694536704128</v>
      </c>
      <c r="L125" s="63">
        <f t="shared" ca="1" si="201"/>
        <v>0.22089320322761472</v>
      </c>
      <c r="M125" s="63">
        <f t="shared" ca="1" si="201"/>
        <v>0.22080387644552177</v>
      </c>
      <c r="N125" s="63">
        <f t="shared" ca="1" si="201"/>
        <v>0.22126835336790865</v>
      </c>
      <c r="O125" s="63">
        <f t="shared" ca="1" si="201"/>
        <v>0.22123250931699695</v>
      </c>
      <c r="P125" s="63">
        <f t="shared" ref="P125" ca="1" si="202">P71/P54</f>
        <v>0.22162258339174223</v>
      </c>
    </row>
    <row r="126" spans="1:16" ht="15" customHeight="1" x14ac:dyDescent="0.25">
      <c r="A126" s="73"/>
      <c r="B126" t="s">
        <v>120</v>
      </c>
      <c r="C126" s="55">
        <v>7900</v>
      </c>
      <c r="D126" s="55">
        <v>9800</v>
      </c>
      <c r="E126" s="55">
        <v>11582</v>
      </c>
      <c r="F126" s="55">
        <v>12138</v>
      </c>
      <c r="G126" s="55">
        <v>12670</v>
      </c>
      <c r="H126" s="55">
        <v>13969</v>
      </c>
      <c r="I126" s="63"/>
      <c r="J126" s="63"/>
      <c r="K126" s="63"/>
      <c r="L126" s="63"/>
      <c r="N126" s="63"/>
      <c r="O126" s="63"/>
      <c r="P126" s="63"/>
    </row>
    <row r="127" spans="1:16" ht="15" customHeight="1" x14ac:dyDescent="0.25">
      <c r="A127" s="73"/>
      <c r="B127" t="s">
        <v>121</v>
      </c>
      <c r="C127" s="74">
        <f>C54/C126</f>
        <v>0.79839202949367083</v>
      </c>
      <c r="D127" s="74">
        <f t="shared" ref="D127:H127" si="203">D54/D126</f>
        <v>0.79751326499999997</v>
      </c>
      <c r="E127" s="74">
        <f t="shared" si="203"/>
        <v>0.83614337592816435</v>
      </c>
      <c r="F127" s="74">
        <f t="shared" si="203"/>
        <v>0.86949977096721032</v>
      </c>
      <c r="G127" s="74">
        <f t="shared" si="203"/>
        <v>0.88610891870560382</v>
      </c>
      <c r="H127" s="74">
        <f t="shared" si="203"/>
        <v>0.87307609707208822</v>
      </c>
      <c r="I127" s="63"/>
      <c r="J127" s="63"/>
      <c r="K127" s="63"/>
      <c r="L127" s="63"/>
      <c r="M127" s="63"/>
      <c r="N127" s="63"/>
      <c r="O127" s="63"/>
      <c r="P127" s="63"/>
    </row>
    <row r="128" spans="1:16" ht="15" customHeight="1" x14ac:dyDescent="0.25">
      <c r="A128" s="73"/>
    </row>
    <row r="129" spans="1:16" ht="15" customHeight="1" x14ac:dyDescent="0.25">
      <c r="A129" s="73" t="s">
        <v>122</v>
      </c>
    </row>
    <row r="130" spans="1:16" ht="15" customHeight="1" x14ac:dyDescent="0.25">
      <c r="A130" s="73"/>
      <c r="B130" t="s">
        <v>123</v>
      </c>
      <c r="C130" s="63">
        <f t="shared" ref="C130:O130" si="204">(C75+C76+C77-C85)/C54</f>
        <v>4.3278984292604843E-2</v>
      </c>
      <c r="D130" s="63">
        <f t="shared" si="204"/>
        <v>9.6030741000801122E-3</v>
      </c>
      <c r="E130" s="63">
        <f t="shared" si="204"/>
        <v>4.2966891583868967E-2</v>
      </c>
      <c r="F130" s="63">
        <f t="shared" si="204"/>
        <v>1.7140439825126138E-2</v>
      </c>
      <c r="G130" s="63">
        <f t="shared" si="204"/>
        <v>1.1027456396716265E-2</v>
      </c>
      <c r="H130" s="63">
        <f t="shared" si="204"/>
        <v>1.1027456396716196E-2</v>
      </c>
      <c r="I130" s="63">
        <f t="shared" si="204"/>
        <v>9.8082191780822156E-3</v>
      </c>
      <c r="J130" s="63">
        <f t="shared" si="204"/>
        <v>1.2999999999999973E-2</v>
      </c>
      <c r="K130" s="63">
        <f t="shared" si="204"/>
        <v>1.4315068493150661E-2</v>
      </c>
      <c r="L130" s="63">
        <f t="shared" si="204"/>
        <v>1.4315068493150654E-2</v>
      </c>
      <c r="M130" s="63">
        <f t="shared" si="204"/>
        <v>1.4315068493150696E-2</v>
      </c>
      <c r="N130" s="63">
        <f t="shared" si="204"/>
        <v>1.4315068493150689E-2</v>
      </c>
      <c r="O130" s="63">
        <f t="shared" si="204"/>
        <v>1.4315068493150685E-2</v>
      </c>
      <c r="P130" s="63">
        <f t="shared" ref="P130" si="205">(P75+P76+P77-P85)/P54</f>
        <v>1.4315068493150694E-2</v>
      </c>
    </row>
    <row r="131" spans="1:16" ht="15" customHeight="1" x14ac:dyDescent="0.25">
      <c r="A131" s="73"/>
      <c r="B131" t="s">
        <v>124</v>
      </c>
      <c r="C131" s="63">
        <f>C80/C54</f>
        <v>0.25590685024901694</v>
      </c>
      <c r="D131" s="63">
        <f t="shared" ref="D131:O131" si="206">D80/D54</f>
        <v>0.24634099397476888</v>
      </c>
      <c r="E131" s="63">
        <f t="shared" si="206"/>
        <v>0.23721952838420654</v>
      </c>
      <c r="F131" s="63">
        <f t="shared" si="206"/>
        <v>0.24646607005593191</v>
      </c>
      <c r="G131" s="63">
        <f t="shared" si="206"/>
        <v>0.2603039102164425</v>
      </c>
      <c r="H131" s="63">
        <f t="shared" si="206"/>
        <v>0.26688640209904885</v>
      </c>
      <c r="I131" s="63">
        <f t="shared" si="206"/>
        <v>0.27185714572085795</v>
      </c>
      <c r="J131" s="63">
        <f t="shared" si="206"/>
        <v>0.27036278468237884</v>
      </c>
      <c r="K131" s="63">
        <f t="shared" si="206"/>
        <v>0.27036226445414724</v>
      </c>
      <c r="L131" s="63">
        <f t="shared" si="206"/>
        <v>0.27340706689970212</v>
      </c>
      <c r="M131" s="63">
        <f t="shared" si="206"/>
        <v>0.27020731306242984</v>
      </c>
      <c r="N131" s="63">
        <f t="shared" si="206"/>
        <v>0.27060614889038642</v>
      </c>
      <c r="O131" s="63">
        <f t="shared" si="206"/>
        <v>0.27109823002821104</v>
      </c>
      <c r="P131" s="63">
        <f t="shared" ref="P131" si="207">P80/P54</f>
        <v>0.27295176727455878</v>
      </c>
    </row>
    <row r="132" spans="1:16" ht="15" customHeight="1" x14ac:dyDescent="0.25">
      <c r="A132" s="73"/>
      <c r="B132" t="s">
        <v>125</v>
      </c>
      <c r="D132" s="63">
        <f t="shared" ref="D132:P132" si="208">(D63*(1-D19))/(C84+C88+C91-C74-C81)</f>
        <v>0.89300675767498883</v>
      </c>
      <c r="E132" s="63">
        <f t="shared" si="208"/>
        <v>0.84960561602348383</v>
      </c>
      <c r="F132" s="63">
        <f t="shared" si="208"/>
        <v>0.78430098386374647</v>
      </c>
      <c r="G132" s="63">
        <f>(G63*(1-G19))/(F84+F88+F91-F74-F81)</f>
        <v>0.78549896495487392</v>
      </c>
      <c r="H132" s="63">
        <f ca="1">(H63*(1-H19))/(G84+G88+G91-G74-G81)</f>
        <v>0.78721600877176323</v>
      </c>
      <c r="I132" s="63">
        <f t="shared" ca="1" si="208"/>
        <v>0.79593698127055923</v>
      </c>
      <c r="J132" s="63">
        <f t="shared" ca="1" si="208"/>
        <v>0.80866419928200928</v>
      </c>
      <c r="K132" s="63">
        <f t="shared" ca="1" si="208"/>
        <v>0.82488755793780333</v>
      </c>
      <c r="L132" s="63">
        <f t="shared" ca="1" si="208"/>
        <v>0.82577263804379308</v>
      </c>
      <c r="M132" s="63">
        <f t="shared" ca="1" si="208"/>
        <v>0.80964505284860666</v>
      </c>
      <c r="N132" s="63">
        <f t="shared" ca="1" si="208"/>
        <v>0.80746208187805291</v>
      </c>
      <c r="O132" s="63">
        <f t="shared" ca="1" si="208"/>
        <v>0.78873031791944392</v>
      </c>
      <c r="P132" s="63">
        <f t="shared" ca="1" si="208"/>
        <v>0.7812693807045854</v>
      </c>
    </row>
    <row r="133" spans="1:16" ht="15" customHeight="1" x14ac:dyDescent="0.25">
      <c r="A133" s="73"/>
      <c r="B133" t="s">
        <v>126</v>
      </c>
      <c r="D133" s="63">
        <f t="shared" ref="D133:P133" si="209">(D84+D88+D91-D74-D81)/(C84+C88+C91-C74-C81)-1</f>
        <v>6.004608977389414E-2</v>
      </c>
      <c r="E133" s="63">
        <f t="shared" si="209"/>
        <v>0.35644546118777232</v>
      </c>
      <c r="F133" s="63">
        <f t="shared" si="209"/>
        <v>2.5324511900339797E-2</v>
      </c>
      <c r="G133" s="63">
        <f t="shared" ca="1" si="209"/>
        <v>9.4941681810837508E-2</v>
      </c>
      <c r="H133" s="63">
        <f t="shared" ca="1" si="209"/>
        <v>0.1126636360691422</v>
      </c>
      <c r="I133" s="63">
        <f t="shared" ca="1" si="209"/>
        <v>0.10129037422183762</v>
      </c>
      <c r="J133" s="63">
        <f t="shared" ca="1" si="209"/>
        <v>8.945189088038541E-2</v>
      </c>
      <c r="K133" s="63">
        <f t="shared" ca="1" si="209"/>
        <v>8.1971973423201172E-2</v>
      </c>
      <c r="L133" s="63">
        <f t="shared" ca="1" si="209"/>
        <v>8.5741022356901508E-2</v>
      </c>
      <c r="M133" s="63">
        <f t="shared" ca="1" si="209"/>
        <v>5.5298102042448338E-2</v>
      </c>
      <c r="N133" s="63">
        <f t="shared" ca="1" si="209"/>
        <v>5.4201424198292436E-2</v>
      </c>
      <c r="O133" s="63">
        <f t="shared" ca="1" si="209"/>
        <v>3.4546010089347545E-2</v>
      </c>
      <c r="P133" s="63">
        <f t="shared" ca="1" si="209"/>
        <v>3.2663071498787666E-2</v>
      </c>
    </row>
    <row r="134" spans="1:16" ht="15" customHeight="1" x14ac:dyDescent="0.25">
      <c r="A134" s="73"/>
    </row>
    <row r="135" spans="1:16" ht="15" customHeight="1" x14ac:dyDescent="0.25">
      <c r="A135" s="73" t="s">
        <v>127</v>
      </c>
      <c r="E135" s="63"/>
      <c r="F135" s="63"/>
      <c r="G135" s="63"/>
      <c r="H135" s="63"/>
      <c r="I135" s="63"/>
      <c r="J135" s="63"/>
      <c r="K135" s="63"/>
      <c r="L135" s="63"/>
      <c r="M135" s="149"/>
      <c r="O135" s="63"/>
      <c r="P135" s="63"/>
    </row>
    <row r="136" spans="1:16" ht="15" customHeight="1" x14ac:dyDescent="0.25">
      <c r="A136" s="73"/>
      <c r="B136" t="s">
        <v>30</v>
      </c>
      <c r="C136">
        <f t="shared" ref="C136:O136" si="210">C84+C88-C74</f>
        <v>-634.7170999299999</v>
      </c>
      <c r="D136">
        <f t="shared" si="210"/>
        <v>-650.51618200000007</v>
      </c>
      <c r="E136">
        <f t="shared" si="210"/>
        <v>216.99300599999998</v>
      </c>
      <c r="F136">
        <f t="shared" si="210"/>
        <v>-124.5</v>
      </c>
      <c r="G136">
        <f t="shared" ca="1" si="210"/>
        <v>-744.34690476925323</v>
      </c>
      <c r="H136">
        <f t="shared" ca="1" si="210"/>
        <v>-1004.3257016278828</v>
      </c>
      <c r="I136">
        <f t="shared" ca="1" si="210"/>
        <v>-1340.8179238538942</v>
      </c>
      <c r="J136">
        <f t="shared" ca="1" si="210"/>
        <v>-1766.0416595421543</v>
      </c>
      <c r="K136">
        <f t="shared" ca="1" si="210"/>
        <v>-2277.7323438482285</v>
      </c>
      <c r="L136">
        <f t="shared" ca="1" si="210"/>
        <v>-2817.385654524764</v>
      </c>
      <c r="M136">
        <f t="shared" ca="1" si="210"/>
        <v>-3531.3160729622905</v>
      </c>
      <c r="N136">
        <f t="shared" ca="1" si="210"/>
        <v>-4289.9042884574792</v>
      </c>
      <c r="O136">
        <f t="shared" ca="1" si="210"/>
        <v>-5171.7772831043958</v>
      </c>
      <c r="P136">
        <f t="shared" ref="P136" ca="1" si="211">P84+P88-P74</f>
        <v>-6087.2903480482582</v>
      </c>
    </row>
    <row r="137" spans="1:16" ht="15" customHeight="1" x14ac:dyDescent="0.25">
      <c r="A137" s="73"/>
      <c r="B137" t="s">
        <v>128</v>
      </c>
      <c r="C137" s="64">
        <f t="shared" ref="C137:O137" si="212">C136/C60</f>
        <v>-0.32777480110920176</v>
      </c>
      <c r="D137" s="64">
        <f t="shared" si="212"/>
        <v>-0.25485756643885488</v>
      </c>
      <c r="E137" s="64">
        <f t="shared" si="212"/>
        <v>8.0838737743534075E-2</v>
      </c>
      <c r="F137" s="64">
        <f t="shared" si="212"/>
        <v>-3.9724966885155311E-2</v>
      </c>
      <c r="G137" s="64">
        <f t="shared" ca="1" si="212"/>
        <v>-0.22051183071904892</v>
      </c>
      <c r="H137" s="64">
        <f ca="1">H136/H60</f>
        <v>-0.27029478167658838</v>
      </c>
      <c r="I137" s="64">
        <f t="shared" ca="1" si="212"/>
        <v>-0.32119090365594222</v>
      </c>
      <c r="J137" s="64">
        <f t="shared" ca="1" si="212"/>
        <v>-0.37863684694740185</v>
      </c>
      <c r="K137" s="64">
        <f t="shared" ca="1" si="212"/>
        <v>-0.44122039514821659</v>
      </c>
      <c r="L137" s="64">
        <f t="shared" ca="1" si="212"/>
        <v>-0.50803464399784404</v>
      </c>
      <c r="M137" s="64">
        <f t="shared" ca="1" si="212"/>
        <v>-0.59669393605051357</v>
      </c>
      <c r="N137" s="64">
        <f t="shared" ca="1" si="212"/>
        <v>-0.68856888416634243</v>
      </c>
      <c r="O137" s="64">
        <f t="shared" ca="1" si="212"/>
        <v>-0.80378372460207581</v>
      </c>
      <c r="P137" s="64">
        <f t="shared" ref="P137" ca="1" si="213">P136/P60</f>
        <v>-0.92209581328794754</v>
      </c>
    </row>
    <row r="138" spans="1:16" ht="15" customHeight="1" x14ac:dyDescent="0.25">
      <c r="A138" s="73"/>
      <c r="B138" t="s">
        <v>129</v>
      </c>
      <c r="C138" s="64">
        <f t="shared" ref="C138:O138" si="214">C60/-C66</f>
        <v>95.538661936878782</v>
      </c>
      <c r="D138" s="64">
        <f t="shared" si="214"/>
        <v>104.56784700900437</v>
      </c>
      <c r="E138" s="64">
        <f t="shared" si="214"/>
        <v>87.327699419934305</v>
      </c>
      <c r="F138" s="64">
        <f t="shared" si="214"/>
        <v>91.63886499181281</v>
      </c>
      <c r="G138" s="64">
        <f t="shared" ca="1" si="214"/>
        <v>118.79018203190918</v>
      </c>
      <c r="H138" s="64">
        <f t="shared" ca="1" si="214"/>
        <v>132.32436303044517</v>
      </c>
      <c r="I138" s="64">
        <f t="shared" ca="1" si="214"/>
        <v>150.46569443555876</v>
      </c>
      <c r="J138" s="64">
        <f t="shared" ca="1" si="214"/>
        <v>168.11597872764386</v>
      </c>
      <c r="K138" s="64">
        <f t="shared" ca="1" si="214"/>
        <v>186.07071814309839</v>
      </c>
      <c r="L138" s="64">
        <f t="shared" ca="1" si="214"/>
        <v>199.8866982668147</v>
      </c>
      <c r="M138" s="64">
        <f t="shared" ca="1" si="214"/>
        <v>213.31229636427474</v>
      </c>
      <c r="N138" s="64">
        <f t="shared" ca="1" si="214"/>
        <v>224.55934537089371</v>
      </c>
      <c r="O138" s="64">
        <f t="shared" ca="1" si="214"/>
        <v>231.91643702866196</v>
      </c>
      <c r="P138" s="64">
        <f t="shared" ref="P138" ca="1" si="215">P60/-P66</f>
        <v>237.9462643914072</v>
      </c>
    </row>
    <row r="139" spans="1:16" ht="15" customHeight="1" x14ac:dyDescent="0.25">
      <c r="A139" s="73"/>
      <c r="B139" t="s">
        <v>130</v>
      </c>
      <c r="C139" s="64">
        <f t="shared" ref="C139:O139" si="216">C136/(C136+C91)</f>
        <v>-0.26326943411522191</v>
      </c>
      <c r="D139" s="64">
        <f t="shared" si="216"/>
        <v>-0.23639303955658789</v>
      </c>
      <c r="E139" s="64">
        <f t="shared" si="216"/>
        <v>5.5983917521900441E-2</v>
      </c>
      <c r="F139" s="64">
        <f t="shared" si="216"/>
        <v>-3.1219438802377195E-2</v>
      </c>
      <c r="G139" s="64">
        <f t="shared" ca="1" si="216"/>
        <v>-0.1752956465749384</v>
      </c>
      <c r="H139" s="64">
        <f t="shared" ca="1" si="216"/>
        <v>-0.21883416421410631</v>
      </c>
      <c r="I139" s="64">
        <f t="shared" ca="1" si="216"/>
        <v>-0.27181929317024622</v>
      </c>
      <c r="J139" s="64">
        <f t="shared" ca="1" si="216"/>
        <v>-0.33532499534025462</v>
      </c>
      <c r="K139" s="64">
        <f t="shared" ca="1" si="216"/>
        <v>-0.40673728960286909</v>
      </c>
      <c r="L139" s="64">
        <f t="shared" ca="1" si="216"/>
        <v>-0.47134991418901517</v>
      </c>
      <c r="M139" s="64">
        <f t="shared" ca="1" si="216"/>
        <v>-0.56578512167601236</v>
      </c>
      <c r="N139" s="64">
        <f t="shared" ca="1" si="216"/>
        <v>-0.65849633432190036</v>
      </c>
      <c r="O139" s="64">
        <f t="shared" ca="1" si="216"/>
        <v>-0.7721030927566972</v>
      </c>
      <c r="P139" s="64">
        <f t="shared" ref="P139" ca="1" si="217">P136/(P136+P91)</f>
        <v>-0.88505197971083127</v>
      </c>
    </row>
    <row r="140" spans="1:16" ht="15" customHeight="1" x14ac:dyDescent="0.25">
      <c r="A140" s="73"/>
    </row>
    <row r="141" spans="1:16" ht="15" customHeight="1" x14ac:dyDescent="0.25">
      <c r="A141" s="73" t="s">
        <v>38</v>
      </c>
    </row>
  </sheetData>
  <printOptions headings="1" gridLines="1"/>
  <pageMargins left="0.31496062992125984" right="0.11811023622047245" top="0.74803149606299213" bottom="0.74803149606299213" header="0" footer="0"/>
  <pageSetup paperSize="9" scale="63" fitToHeight="0" orientation="landscape" r:id="rId1"/>
  <headerFooter>
    <oddHeader>&amp;R&amp;F  &amp;A</oddHeader>
    <oddFooter>&amp;L© 2016&amp;CPage &amp;P of</oddFooter>
  </headerFooter>
  <rowBreaks count="3" manualBreakCount="3">
    <brk id="34" max="15" man="1"/>
    <brk id="72" max="15" man="1"/>
    <brk id="112" max="15" man="1"/>
  </rowBreaks>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theme="4" tint="0.59999389629810485"/>
    <pageSetUpPr fitToPage="1"/>
  </sheetPr>
  <dimension ref="A1:O33"/>
  <sheetViews>
    <sheetView zoomScaleNormal="100" zoomScaleSheetLayoutView="85" workbookViewId="0"/>
  </sheetViews>
  <sheetFormatPr defaultColWidth="12.5703125" defaultRowHeight="15" customHeight="1" x14ac:dyDescent="0.25"/>
  <cols>
    <col min="1" max="1" width="1.5703125" customWidth="1"/>
    <col min="2" max="2" width="9.5703125" customWidth="1"/>
    <col min="3" max="3" width="38.28515625" bestFit="1" customWidth="1"/>
    <col min="4" max="15" width="10.5703125" customWidth="1"/>
  </cols>
  <sheetData>
    <row r="1" spans="1:15" ht="30" customHeight="1" x14ac:dyDescent="0.45">
      <c r="A1" s="180" t="str">
        <f>"Weighted average cost of capital for "&amp;Info!N5</f>
        <v>Weighted average cost of capital for Red Bull</v>
      </c>
      <c r="B1" s="89"/>
      <c r="C1" s="68"/>
      <c r="D1" s="68"/>
      <c r="E1" s="68"/>
      <c r="F1" s="68"/>
      <c r="G1" s="68"/>
      <c r="H1" s="68"/>
      <c r="I1" s="68"/>
      <c r="J1" s="68"/>
      <c r="K1" s="68"/>
      <c r="L1" s="68"/>
      <c r="M1" s="68"/>
      <c r="N1" s="68"/>
      <c r="O1" s="68"/>
    </row>
    <row r="2" spans="1:15" ht="15.75" customHeight="1" x14ac:dyDescent="0.25">
      <c r="A2" t="s">
        <v>345</v>
      </c>
    </row>
    <row r="3" spans="1:15" ht="15.75" customHeight="1" x14ac:dyDescent="0.25">
      <c r="A3" s="10"/>
    </row>
    <row r="4" spans="1:15" ht="15.75" customHeight="1" x14ac:dyDescent="0.25">
      <c r="A4" s="9"/>
      <c r="C4" s="118"/>
      <c r="D4" s="77"/>
      <c r="E4" s="69"/>
      <c r="F4" s="77" t="s">
        <v>207</v>
      </c>
      <c r="G4" s="77" t="s">
        <v>255</v>
      </c>
      <c r="H4" s="77" t="s">
        <v>256</v>
      </c>
      <c r="I4" s="77" t="s">
        <v>257</v>
      </c>
      <c r="J4" s="77"/>
      <c r="K4" s="77" t="s">
        <v>346</v>
      </c>
      <c r="L4" s="77" t="s">
        <v>346</v>
      </c>
      <c r="M4" s="77" t="s">
        <v>347</v>
      </c>
    </row>
    <row r="5" spans="1:15" ht="15.75" customHeight="1" x14ac:dyDescent="0.25">
      <c r="A5" s="9"/>
      <c r="C5" s="69" t="s">
        <v>258</v>
      </c>
      <c r="D5" s="77" t="s">
        <v>138</v>
      </c>
      <c r="E5" s="69" t="s">
        <v>262</v>
      </c>
      <c r="F5" s="77" t="s">
        <v>269</v>
      </c>
      <c r="G5" s="77" t="s">
        <v>250</v>
      </c>
      <c r="H5" s="77" t="s">
        <v>164</v>
      </c>
      <c r="I5" s="77" t="s">
        <v>268</v>
      </c>
      <c r="J5" s="77" t="s">
        <v>348</v>
      </c>
      <c r="K5" s="77" t="s">
        <v>349</v>
      </c>
      <c r="L5" s="77" t="s">
        <v>71</v>
      </c>
      <c r="M5" s="77" t="s">
        <v>164</v>
      </c>
    </row>
    <row r="6" spans="1:15" ht="15.75" customHeight="1" x14ac:dyDescent="0.25">
      <c r="K6" s="2"/>
      <c r="L6" s="2"/>
    </row>
    <row r="7" spans="1:15" ht="15.75" customHeight="1" x14ac:dyDescent="0.25">
      <c r="A7" s="9"/>
      <c r="B7" s="8">
        <v>1</v>
      </c>
      <c r="C7" s="230" t="str">
        <f ca="1">Trading_comps!C11</f>
        <v>Coca-Cola Company</v>
      </c>
      <c r="D7" s="230" t="str">
        <f ca="1">Trading_comps!BH11</f>
        <v>KO-US</v>
      </c>
      <c r="E7" s="230">
        <f ca="1">Trading_comps!G11</f>
        <v>344591.76486895996</v>
      </c>
      <c r="F7" s="230">
        <f ca="1">Trading_comps!BG11</f>
        <v>45492</v>
      </c>
      <c r="G7" s="231">
        <f ca="1">Trading_comps!BD11</f>
        <v>2.8320986117163667</v>
      </c>
      <c r="H7" s="232">
        <f ca="1">Trading_comps!BE11</f>
        <v>0.56999999999999995</v>
      </c>
      <c r="I7" s="233" t="str">
        <f ca="1">Trading_comps!BF11</f>
        <v>A+</v>
      </c>
      <c r="J7" s="60">
        <v>0.21</v>
      </c>
      <c r="K7" s="63">
        <f ca="1">F7/(F7+E7)</f>
        <v>0.11662110576501956</v>
      </c>
      <c r="L7" s="63">
        <f ca="1">K7/(1-K7)</f>
        <v>0.13201708409166288</v>
      </c>
      <c r="M7" s="74">
        <f ca="1">H7/(1+(1-J7)*L7)</f>
        <v>0.51616712571564605</v>
      </c>
    </row>
    <row r="8" spans="1:15" ht="15.75" customHeight="1" x14ac:dyDescent="0.25">
      <c r="A8" s="9"/>
      <c r="B8" s="8">
        <v>2</v>
      </c>
      <c r="C8" s="230" t="str">
        <f ca="1">Trading_comps!C12</f>
        <v>Keurig Dr Pepper</v>
      </c>
      <c r="D8" s="230" t="str">
        <f ca="1">Trading_comps!BH12</f>
        <v>KDP-US</v>
      </c>
      <c r="E8" s="230">
        <f ca="1">Trading_comps!G12</f>
        <v>40504.205149380003</v>
      </c>
      <c r="F8" s="230">
        <f ca="1">Trading_comps!BG12</f>
        <v>16839</v>
      </c>
      <c r="G8" s="231">
        <f ca="1">Trading_comps!BD12</f>
        <v>3.7172185430463576</v>
      </c>
      <c r="H8" s="232">
        <f ca="1">Trading_comps!BE12</f>
        <v>0.55000000000000004</v>
      </c>
      <c r="I8" s="233" t="str">
        <f ca="1">Trading_comps!BF12</f>
        <v>BBB</v>
      </c>
      <c r="J8" s="60">
        <v>0.21</v>
      </c>
      <c r="K8" s="63">
        <f t="shared" ref="K8:K11" ca="1" si="0">F8/(F8+E8)</f>
        <v>0.29365292637783547</v>
      </c>
      <c r="L8" s="63">
        <f t="shared" ref="L8:L11" ca="1" si="1">K8/(1-K8)</f>
        <v>0.41573461170013248</v>
      </c>
      <c r="M8" s="74">
        <f t="shared" ref="M8:M11" ca="1" si="2">H8/(1+(1-J8)*L8)</f>
        <v>0.41402246101762619</v>
      </c>
    </row>
    <row r="9" spans="1:15" ht="15.75" customHeight="1" x14ac:dyDescent="0.25">
      <c r="A9" s="9"/>
      <c r="B9" s="8">
        <v>3</v>
      </c>
      <c r="C9" s="230" t="str">
        <f ca="1">Trading_comps!C13</f>
        <v>Monster Beverage</v>
      </c>
      <c r="D9" s="230" t="str">
        <f ca="1">Trading_comps!BH13</f>
        <v>MNST-US</v>
      </c>
      <c r="E9" s="230">
        <f ca="1">Trading_comps!G13</f>
        <v>83024.654632160004</v>
      </c>
      <c r="F9" s="230">
        <f ca="1">Trading_comps!BG13</f>
        <v>0</v>
      </c>
      <c r="G9" s="231">
        <f ca="1">Trading_comps!BD13</f>
        <v>0</v>
      </c>
      <c r="H9" s="232">
        <f ca="1">Trading_comps!BE13</f>
        <v>0.63</v>
      </c>
      <c r="I9" s="233" t="str">
        <f ca="1">Trading_comps!BF13</f>
        <v>N/A</v>
      </c>
      <c r="J9" s="60">
        <v>0.21</v>
      </c>
      <c r="K9" s="63">
        <f t="shared" ca="1" si="0"/>
        <v>0</v>
      </c>
      <c r="L9" s="63">
        <f t="shared" ca="1" si="1"/>
        <v>0</v>
      </c>
      <c r="M9" s="74">
        <f t="shared" ca="1" si="2"/>
        <v>0.63</v>
      </c>
    </row>
    <row r="10" spans="1:15" ht="15.75" customHeight="1" x14ac:dyDescent="0.25">
      <c r="A10" s="9"/>
      <c r="B10" s="8">
        <v>4</v>
      </c>
      <c r="C10" s="230" t="str">
        <f>Trading_comps!C14</f>
        <v>PepsiCo</v>
      </c>
      <c r="D10" s="230" t="str">
        <f>Trading_comps!BH14</f>
        <v>PEP-US</v>
      </c>
      <c r="E10" s="230">
        <f>Trading_comps!G14</f>
        <v>226465.5</v>
      </c>
      <c r="F10" s="230">
        <f>Trading_comps!BG14</f>
        <v>49182</v>
      </c>
      <c r="G10" s="231">
        <f>Trading_comps!BD14</f>
        <v>2.6783205358601534</v>
      </c>
      <c r="H10" s="232">
        <f>Trading_comps!BE14</f>
        <v>0.6</v>
      </c>
      <c r="I10" s="233" t="str">
        <f>Trading_comps!BF14</f>
        <v>A+</v>
      </c>
      <c r="J10" s="60">
        <v>0.21</v>
      </c>
      <c r="K10" s="63">
        <f t="shared" si="0"/>
        <v>0.17842353005196854</v>
      </c>
      <c r="L10" s="63">
        <f t="shared" si="1"/>
        <v>0.21717215204964993</v>
      </c>
      <c r="M10" s="74">
        <f t="shared" si="2"/>
        <v>0.51213503971516883</v>
      </c>
    </row>
    <row r="11" spans="1:15" ht="15.75" customHeight="1" x14ac:dyDescent="0.25">
      <c r="A11" s="9"/>
      <c r="B11" s="8">
        <v>7</v>
      </c>
      <c r="C11" s="230" t="str">
        <f>Trading_comps!C17</f>
        <v>Fevertree Drinks</v>
      </c>
      <c r="D11" s="230" t="str">
        <f>Trading_comps!BH17</f>
        <v>FEVR-GB</v>
      </c>
      <c r="E11" s="230">
        <f>Trading_comps!G17</f>
        <v>1350</v>
      </c>
      <c r="F11" s="230">
        <f>Trading_comps!BG17</f>
        <v>0</v>
      </c>
      <c r="G11" s="231">
        <f>Trading_comps!BD17</f>
        <v>0</v>
      </c>
      <c r="H11" s="232">
        <f>Trading_comps!BE17</f>
        <v>1.1002639999999999</v>
      </c>
      <c r="I11" s="233" t="str">
        <f>Trading_comps!BF17</f>
        <v>N/A</v>
      </c>
      <c r="J11" s="60">
        <v>0.25</v>
      </c>
      <c r="K11" s="63">
        <f t="shared" si="0"/>
        <v>0</v>
      </c>
      <c r="L11" s="63">
        <f t="shared" si="1"/>
        <v>0</v>
      </c>
      <c r="M11" s="74">
        <f t="shared" si="2"/>
        <v>1.1002639999999999</v>
      </c>
    </row>
    <row r="12" spans="1:15" ht="15.75" customHeight="1" x14ac:dyDescent="0.25">
      <c r="A12" s="9"/>
    </row>
    <row r="13" spans="1:15" ht="15.75" customHeight="1" x14ac:dyDescent="0.25">
      <c r="A13" s="9"/>
      <c r="C13" t="s">
        <v>350</v>
      </c>
      <c r="K13" s="63">
        <f ca="1">AVERAGE(K7:K11)</f>
        <v>0.11773951243896472</v>
      </c>
      <c r="L13" s="63"/>
      <c r="M13" s="74">
        <f ca="1">AVERAGE(M7:M11)</f>
        <v>0.63451772528968819</v>
      </c>
    </row>
    <row r="14" spans="1:15" ht="15.75" customHeight="1" x14ac:dyDescent="0.25">
      <c r="A14" s="9"/>
    </row>
    <row r="15" spans="1:15" ht="15.75" customHeight="1" x14ac:dyDescent="0.25">
      <c r="A15" s="9"/>
    </row>
    <row r="16" spans="1:15" ht="15.75" customHeight="1" x14ac:dyDescent="0.25">
      <c r="A16" s="10"/>
    </row>
    <row r="17" spans="1:4" ht="15.75" customHeight="1" x14ac:dyDescent="0.25">
      <c r="A17" s="10"/>
      <c r="C17" t="s">
        <v>351</v>
      </c>
      <c r="D17" s="148">
        <v>2.7E-2</v>
      </c>
    </row>
    <row r="18" spans="1:4" ht="15.75" customHeight="1" x14ac:dyDescent="0.25">
      <c r="A18" s="10"/>
      <c r="C18" t="s">
        <v>681</v>
      </c>
      <c r="D18" s="148">
        <f>4.23%+0.35%</f>
        <v>4.5800000000000007E-2</v>
      </c>
    </row>
    <row r="19" spans="1:4" ht="15.75" customHeight="1" x14ac:dyDescent="0.25">
      <c r="A19" s="10"/>
      <c r="C19" t="s">
        <v>352</v>
      </c>
      <c r="D19" s="74">
        <f ca="1">M13</f>
        <v>0.63451772528968819</v>
      </c>
    </row>
    <row r="20" spans="1:4" ht="15.75" customHeight="1" x14ac:dyDescent="0.25">
      <c r="A20" s="10"/>
      <c r="C20" t="s">
        <v>353</v>
      </c>
      <c r="D20" s="234">
        <f>'Red Bull Model'!G20</f>
        <v>0.23</v>
      </c>
    </row>
    <row r="21" spans="1:4" ht="15.75" customHeight="1" x14ac:dyDescent="0.25">
      <c r="A21" s="10"/>
      <c r="C21" t="s">
        <v>354</v>
      </c>
      <c r="D21" s="63">
        <f ca="1">K13/(1-K13)</f>
        <v>0.13345209731022828</v>
      </c>
    </row>
    <row r="22" spans="1:4" ht="15.75" customHeight="1" x14ac:dyDescent="0.25">
      <c r="A22" s="10"/>
      <c r="C22" t="s">
        <v>355</v>
      </c>
      <c r="D22" s="74">
        <f ca="1">D19*(1+D21*(1-D20))</f>
        <v>0.69971957062941481</v>
      </c>
    </row>
    <row r="23" spans="1:4" ht="15.75" customHeight="1" x14ac:dyDescent="0.25">
      <c r="A23" s="10"/>
      <c r="C23" t="s">
        <v>356</v>
      </c>
      <c r="D23" s="63">
        <f ca="1">D17+D18*D22</f>
        <v>5.9047156334827197E-2</v>
      </c>
    </row>
    <row r="24" spans="1:4" ht="15.75" customHeight="1" x14ac:dyDescent="0.25">
      <c r="A24" s="10"/>
      <c r="C24" t="s">
        <v>357</v>
      </c>
      <c r="D24" s="63">
        <f ca="1">1-K13</f>
        <v>0.88226048756103526</v>
      </c>
    </row>
    <row r="25" spans="1:4" ht="15.75" customHeight="1" x14ac:dyDescent="0.25">
      <c r="A25" s="10"/>
    </row>
    <row r="26" spans="1:4" ht="15.75" customHeight="1" x14ac:dyDescent="0.25">
      <c r="A26" s="10"/>
      <c r="C26" t="s">
        <v>358</v>
      </c>
      <c r="D26" s="148">
        <v>1.18E-2</v>
      </c>
    </row>
    <row r="27" spans="1:4" ht="15.75" customHeight="1" x14ac:dyDescent="0.25">
      <c r="A27" s="10"/>
      <c r="C27" t="s">
        <v>359</v>
      </c>
      <c r="D27" s="63">
        <f>D26+D17</f>
        <v>3.8800000000000001E-2</v>
      </c>
    </row>
    <row r="28" spans="1:4" ht="15.75" customHeight="1" x14ac:dyDescent="0.25">
      <c r="A28" s="10"/>
      <c r="C28" t="s">
        <v>360</v>
      </c>
      <c r="D28" s="63">
        <f>D27*(1-D20)</f>
        <v>2.9876000000000003E-2</v>
      </c>
    </row>
    <row r="29" spans="1:4" ht="15.75" customHeight="1" x14ac:dyDescent="0.25">
      <c r="A29" s="10"/>
      <c r="C29" t="s">
        <v>361</v>
      </c>
      <c r="D29" s="63">
        <f ca="1">K13</f>
        <v>0.11773951243896472</v>
      </c>
    </row>
    <row r="30" spans="1:4" ht="15.75" customHeight="1" x14ac:dyDescent="0.25">
      <c r="A30" s="10"/>
    </row>
    <row r="31" spans="1:4" ht="15.75" customHeight="1" x14ac:dyDescent="0.25">
      <c r="A31" s="10"/>
      <c r="C31" t="s">
        <v>328</v>
      </c>
      <c r="D31" s="63">
        <f ca="1">D23*D24+D28*D29</f>
        <v>5.5612558610683829E-2</v>
      </c>
    </row>
    <row r="32" spans="1:4" ht="15.75" customHeight="1" x14ac:dyDescent="0.25">
      <c r="A32" s="10"/>
    </row>
    <row r="33" spans="1:1" ht="15.75" customHeight="1" x14ac:dyDescent="0.25">
      <c r="A33" s="10" t="s">
        <v>38</v>
      </c>
    </row>
  </sheetData>
  <printOptions gridLines="1"/>
  <pageMargins left="0.7" right="0.7" top="0.75" bottom="0.75" header="0" footer="0"/>
  <pageSetup paperSize="9" scale="74" fitToHeight="0" orientation="landscape"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theme="4" tint="0.59999389629810485"/>
    <pageSetUpPr fitToPage="1"/>
  </sheetPr>
  <dimension ref="A1:T80"/>
  <sheetViews>
    <sheetView zoomScaleNormal="100" zoomScaleSheetLayoutView="85" workbookViewId="0">
      <pane xSplit="2" ySplit="3" topLeftCell="C4" activePane="bottomRight" state="frozen"/>
      <selection pane="topRight"/>
      <selection pane="bottomLeft"/>
      <selection pane="bottomRight" activeCell="C4" sqref="C4"/>
    </sheetView>
  </sheetViews>
  <sheetFormatPr defaultColWidth="12.5703125" defaultRowHeight="15" customHeight="1" x14ac:dyDescent="0.25"/>
  <cols>
    <col min="1" max="1" width="1.5703125" customWidth="1"/>
    <col min="2" max="2" width="40.5703125" customWidth="1"/>
    <col min="3" max="18" width="10.28515625" customWidth="1"/>
    <col min="19" max="19" width="8" customWidth="1"/>
  </cols>
  <sheetData>
    <row r="1" spans="1:19" ht="30" customHeight="1" x14ac:dyDescent="0.45">
      <c r="A1" s="180" t="str">
        <f>"Discounted cashflow valuation for "&amp;Info!N5</f>
        <v>Discounted cashflow valuation for Red Bull</v>
      </c>
      <c r="B1" s="72"/>
      <c r="C1" s="72"/>
      <c r="D1" s="72"/>
      <c r="E1" s="72"/>
      <c r="F1" s="72"/>
      <c r="G1" s="72"/>
      <c r="H1" s="72"/>
      <c r="I1" s="72"/>
      <c r="J1" s="72"/>
      <c r="K1" s="72"/>
      <c r="L1" s="72"/>
      <c r="M1" s="72"/>
      <c r="N1" s="72"/>
      <c r="O1" s="72"/>
      <c r="P1" s="72"/>
      <c r="Q1" s="12"/>
      <c r="R1" s="12"/>
      <c r="S1" s="12"/>
    </row>
    <row r="2" spans="1:19" ht="15" customHeight="1" x14ac:dyDescent="0.3">
      <c r="A2" s="254"/>
      <c r="B2" s="254"/>
      <c r="C2" s="254" t="str">
        <f>'Red Bull Model'!C2</f>
        <v>Actual</v>
      </c>
      <c r="D2" s="254" t="str">
        <f>'Red Bull Model'!D2</f>
        <v>Actual</v>
      </c>
      <c r="E2" s="254" t="str">
        <f>'Red Bull Model'!E2</f>
        <v>Actual</v>
      </c>
      <c r="F2" s="254" t="str">
        <f>'Red Bull Model'!F2</f>
        <v>Actual</v>
      </c>
      <c r="G2" s="254" t="str">
        <f>'Red Bull Model'!G2</f>
        <v>Actual / Est.</v>
      </c>
      <c r="H2" s="254" t="str">
        <f>'Red Bull Model'!H2</f>
        <v>Actual / Est.</v>
      </c>
      <c r="I2" s="254" t="str">
        <f>'Red Bull Model'!I2</f>
        <v>Projected</v>
      </c>
      <c r="J2" s="254" t="str">
        <f>'Red Bull Model'!J2</f>
        <v>Projected</v>
      </c>
      <c r="K2" s="254" t="str">
        <f>'Red Bull Model'!K2</f>
        <v>Projected</v>
      </c>
      <c r="L2" s="254" t="str">
        <f>'Red Bull Model'!L2</f>
        <v>Projected</v>
      </c>
      <c r="M2" s="254" t="str">
        <f>'Red Bull Model'!M2</f>
        <v>Projected</v>
      </c>
      <c r="N2" s="254" t="str">
        <f>'Red Bull Model'!N2</f>
        <v>Projected</v>
      </c>
      <c r="O2" s="254" t="str">
        <f>'Red Bull Model'!O2</f>
        <v>Projected</v>
      </c>
      <c r="P2" s="254" t="str">
        <f>'Red Bull Model'!P2</f>
        <v>Projected</v>
      </c>
      <c r="Q2" s="13"/>
      <c r="R2" s="13"/>
      <c r="S2" s="13"/>
    </row>
    <row r="3" spans="1:19" ht="15" customHeight="1" x14ac:dyDescent="0.25">
      <c r="A3" s="254"/>
      <c r="B3" s="254"/>
      <c r="C3" s="255">
        <f>'Red Bull Model'!C3</f>
        <v>44196</v>
      </c>
      <c r="D3" s="255">
        <f t="shared" ref="D3:P3" si="0">EDATE(C3,12)</f>
        <v>44561</v>
      </c>
      <c r="E3" s="255">
        <f t="shared" si="0"/>
        <v>44926</v>
      </c>
      <c r="F3" s="255">
        <f t="shared" si="0"/>
        <v>45291</v>
      </c>
      <c r="G3" s="255">
        <f t="shared" si="0"/>
        <v>45657</v>
      </c>
      <c r="H3" s="255">
        <f t="shared" si="0"/>
        <v>46022</v>
      </c>
      <c r="I3" s="255">
        <f t="shared" si="0"/>
        <v>46387</v>
      </c>
      <c r="J3" s="255">
        <f t="shared" si="0"/>
        <v>46752</v>
      </c>
      <c r="K3" s="255">
        <f t="shared" si="0"/>
        <v>47118</v>
      </c>
      <c r="L3" s="255">
        <f t="shared" si="0"/>
        <v>47483</v>
      </c>
      <c r="M3" s="255">
        <f t="shared" si="0"/>
        <v>47848</v>
      </c>
      <c r="N3" s="255">
        <f t="shared" si="0"/>
        <v>48213</v>
      </c>
      <c r="O3" s="255">
        <f t="shared" si="0"/>
        <v>48579</v>
      </c>
      <c r="P3" s="255">
        <f t="shared" si="0"/>
        <v>48944</v>
      </c>
    </row>
    <row r="4" spans="1:19" ht="15" customHeight="1" x14ac:dyDescent="0.25">
      <c r="A4" t="s">
        <v>41</v>
      </c>
    </row>
    <row r="5" spans="1:19" ht="15" customHeight="1" x14ac:dyDescent="0.25">
      <c r="A5" s="10"/>
    </row>
    <row r="6" spans="1:19" ht="15" customHeight="1" x14ac:dyDescent="0.25">
      <c r="A6" s="10" t="s">
        <v>315</v>
      </c>
    </row>
    <row r="7" spans="1:19" ht="15" customHeight="1" x14ac:dyDescent="0.25">
      <c r="A7" s="10"/>
      <c r="B7" t="s">
        <v>18</v>
      </c>
      <c r="C7" s="230">
        <f>'Red Bull Model'!C60</f>
        <v>1936.4426361699993</v>
      </c>
      <c r="D7" s="230">
        <f>'Red Bull Model'!D60</f>
        <v>2552.4695659999998</v>
      </c>
      <c r="E7" s="230">
        <f>'Red Bull Model'!E60</f>
        <v>2684.2700919999988</v>
      </c>
      <c r="F7" s="230">
        <f>'Red Bull Model'!F60</f>
        <v>3134.0491827199985</v>
      </c>
      <c r="G7" s="230">
        <f>'Red Bull Model'!G60</f>
        <v>3375.5418126187315</v>
      </c>
      <c r="H7" s="230">
        <f>'Red Bull Model'!H60</f>
        <v>3715.6681138948998</v>
      </c>
      <c r="I7" s="230">
        <f>'Red Bull Model'!I60</f>
        <v>4174.5202264201425</v>
      </c>
      <c r="J7" s="230">
        <f>'Red Bull Model'!J60</f>
        <v>4664.2097138197514</v>
      </c>
      <c r="K7" s="230">
        <f>'Red Bull Model'!K60</f>
        <v>5162.346004162122</v>
      </c>
      <c r="L7" s="230">
        <f>'Red Bull Model'!L60</f>
        <v>5545.6565567145071</v>
      </c>
      <c r="M7" s="230">
        <f>'Red Bull Model'!M60</f>
        <v>5918.1363503304383</v>
      </c>
      <c r="N7" s="230">
        <f>'Red Bull Model'!N60</f>
        <v>6230.1744779700748</v>
      </c>
      <c r="O7" s="230">
        <f>'Red Bull Model'!O60</f>
        <v>6434.2896289231976</v>
      </c>
      <c r="P7" s="230">
        <f>'Red Bull Model'!P60</f>
        <v>6601.5811592752016</v>
      </c>
    </row>
    <row r="8" spans="1:19" ht="15" customHeight="1" x14ac:dyDescent="0.25">
      <c r="A8" s="10"/>
      <c r="B8" t="s">
        <v>17</v>
      </c>
      <c r="C8" s="230">
        <f>'Red Bull Model'!C63</f>
        <v>1622.2214971699993</v>
      </c>
      <c r="D8" s="230">
        <f>'Red Bull Model'!D63</f>
        <v>2262.9888019999999</v>
      </c>
      <c r="E8" s="230">
        <f>'Red Bull Model'!E63</f>
        <v>2291.5549259999989</v>
      </c>
      <c r="F8" s="230">
        <f>'Red Bull Model'!F63</f>
        <v>2734.0491827199985</v>
      </c>
      <c r="G8" s="230">
        <f>'Red Bull Model'!G63</f>
        <v>2933.3378126187313</v>
      </c>
      <c r="H8" s="230">
        <f>'Red Bull Model'!H63</f>
        <v>3218.8546738948999</v>
      </c>
      <c r="I8" s="230">
        <f>'Red Bull Model'!I63</f>
        <v>3621.1793112201426</v>
      </c>
      <c r="J8" s="230">
        <f>'Red Bull Model'!J63</f>
        <v>4051.7384881167136</v>
      </c>
      <c r="K8" s="230">
        <f>'Red Bull Model'!K63</f>
        <v>4502.7309779558</v>
      </c>
      <c r="L8" s="230">
        <f>'Red Bull Model'!L63</f>
        <v>4877.0560510469195</v>
      </c>
      <c r="M8" s="230">
        <f>'Red Bull Model'!M63</f>
        <v>5191.8026050828139</v>
      </c>
      <c r="N8" s="230">
        <f>'Red Bull Model'!N63</f>
        <v>5464.1271862048616</v>
      </c>
      <c r="O8" s="230">
        <f>'Red Bull Model'!O63</f>
        <v>5626.6615942412063</v>
      </c>
      <c r="P8" s="230">
        <f>'Red Bull Model'!P63</f>
        <v>5765.9765940584575</v>
      </c>
    </row>
    <row r="9" spans="1:19" ht="15" customHeight="1" x14ac:dyDescent="0.25">
      <c r="A9" s="10"/>
      <c r="B9" t="s">
        <v>316</v>
      </c>
      <c r="C9" s="234">
        <f>'Red Bull Model'!C19</f>
        <v>0.25736780715171709</v>
      </c>
      <c r="D9" s="234">
        <f>'Red Bull Model'!D19</f>
        <v>0.25534235653743953</v>
      </c>
      <c r="E9" s="234">
        <f>'Red Bull Model'!E19</f>
        <v>0.25835484685320387</v>
      </c>
      <c r="F9" s="234">
        <f>'Red Bull Model'!F19</f>
        <v>0.22162687370103795</v>
      </c>
      <c r="G9" s="234">
        <f>'Red Bull Model'!G19</f>
        <v>0.255</v>
      </c>
      <c r="H9" s="234">
        <f>'Red Bull Model'!H19</f>
        <v>0.255</v>
      </c>
      <c r="I9" s="234">
        <f>'Red Bull Model'!I19</f>
        <v>0.255</v>
      </c>
      <c r="J9" s="234">
        <f>'Red Bull Model'!J19</f>
        <v>0.255</v>
      </c>
      <c r="K9" s="234">
        <f>'Red Bull Model'!K19</f>
        <v>0.255</v>
      </c>
      <c r="L9" s="234">
        <f>'Red Bull Model'!L19</f>
        <v>0.255</v>
      </c>
      <c r="M9" s="234">
        <f>'Red Bull Model'!M19</f>
        <v>0.255</v>
      </c>
      <c r="N9" s="234">
        <f>'Red Bull Model'!N19</f>
        <v>0.255</v>
      </c>
      <c r="O9" s="234">
        <f>'Red Bull Model'!O19</f>
        <v>0.255</v>
      </c>
      <c r="P9" s="234">
        <f>'Red Bull Model'!P19</f>
        <v>0.255</v>
      </c>
    </row>
    <row r="10" spans="1:19" ht="15" customHeight="1" x14ac:dyDescent="0.25">
      <c r="A10" s="10"/>
    </row>
    <row r="11" spans="1:19" ht="15" customHeight="1" x14ac:dyDescent="0.25">
      <c r="A11" s="10"/>
      <c r="B11" t="s">
        <v>317</v>
      </c>
      <c r="E11">
        <f t="shared" ref="E11:F11" si="1">E8*(1-E9)</f>
        <v>1699.5206040375642</v>
      </c>
      <c r="F11">
        <f t="shared" si="1"/>
        <v>2128.1104098088872</v>
      </c>
      <c r="G11">
        <f>G8*(1-G9)</f>
        <v>2185.336670400955</v>
      </c>
      <c r="H11">
        <f t="shared" ref="H11:O11" si="2">H8*(1-H9)</f>
        <v>2398.0467320517005</v>
      </c>
      <c r="I11">
        <f t="shared" si="2"/>
        <v>2697.7785868590063</v>
      </c>
      <c r="J11">
        <f t="shared" si="2"/>
        <v>3018.5451736469518</v>
      </c>
      <c r="K11">
        <f t="shared" si="2"/>
        <v>3354.534578577071</v>
      </c>
      <c r="L11">
        <f t="shared" si="2"/>
        <v>3633.4067580299552</v>
      </c>
      <c r="M11">
        <f t="shared" si="2"/>
        <v>3867.8929407866963</v>
      </c>
      <c r="N11">
        <f t="shared" si="2"/>
        <v>4070.7747537226219</v>
      </c>
      <c r="O11">
        <f t="shared" si="2"/>
        <v>4191.862887709699</v>
      </c>
      <c r="P11">
        <f t="shared" ref="P11" si="3">P8*(1-P9)</f>
        <v>4295.6525625735512</v>
      </c>
    </row>
    <row r="12" spans="1:19" ht="15" customHeight="1" x14ac:dyDescent="0.25">
      <c r="A12" s="10"/>
      <c r="B12" t="s">
        <v>318</v>
      </c>
      <c r="I12" s="230">
        <f>'Red Bull Model'!I98</f>
        <v>553.34091520000004</v>
      </c>
      <c r="J12" s="230">
        <f>'Red Bull Model'!J98</f>
        <v>612.4712257030377</v>
      </c>
      <c r="K12" s="230">
        <f>'Red Bull Model'!K98</f>
        <v>659.61502620632177</v>
      </c>
      <c r="L12" s="230">
        <f>'Red Bull Model'!L98</f>
        <v>668.60050566758798</v>
      </c>
      <c r="M12" s="230">
        <f>'Red Bull Model'!M98</f>
        <v>726.33374524762405</v>
      </c>
      <c r="N12" s="230">
        <f>'Red Bull Model'!N98</f>
        <v>766.04729176521334</v>
      </c>
      <c r="O12" s="230">
        <f>'Red Bull Model'!O98</f>
        <v>807.62803468199081</v>
      </c>
      <c r="P12" s="230">
        <f>'Red Bull Model'!P98</f>
        <v>835.60456521674439</v>
      </c>
    </row>
    <row r="13" spans="1:19" ht="15" customHeight="1" x14ac:dyDescent="0.25">
      <c r="A13" s="10"/>
      <c r="B13" t="s">
        <v>319</v>
      </c>
      <c r="I13" s="230">
        <f>SUM('Red Bull Model'!I99:I102)</f>
        <v>4.5079714077916151</v>
      </c>
      <c r="J13" s="230">
        <f>SUM('Red Bull Model'!J99:J102)</f>
        <v>-56.585501746230648</v>
      </c>
      <c r="K13" s="230">
        <f>SUM('Red Bull Model'!K99:K102)</f>
        <v>-34.687110354166748</v>
      </c>
      <c r="L13" s="230">
        <f>SUM('Red Bull Model'!L99:L102)</f>
        <v>-16.428493454894578</v>
      </c>
      <c r="M13" s="230">
        <f>SUM('Red Bull Model'!M99:M102)</f>
        <v>-15.964292688403248</v>
      </c>
      <c r="N13" s="230">
        <f>SUM('Red Bull Model'!N99:N102)</f>
        <v>-13.373793921065726</v>
      </c>
      <c r="O13" s="230">
        <f>SUM('Red Bull Model'!O99:O102)</f>
        <v>-8.7482705580350739</v>
      </c>
      <c r="P13" s="230">
        <f>SUM('Red Bull Model'!P99:P102)</f>
        <v>-7.1700290877636235</v>
      </c>
    </row>
    <row r="14" spans="1:19" ht="15" customHeight="1" x14ac:dyDescent="0.25">
      <c r="A14" s="10"/>
      <c r="B14" s="251" t="str">
        <f>'Red Bull Model'!B105</f>
        <v>(Capital expenditure)</v>
      </c>
      <c r="I14" s="230">
        <f>'Red Bull Model'!I105</f>
        <v>-901.16627110022137</v>
      </c>
      <c r="J14" s="230">
        <f>'Red Bull Model'!J105</f>
        <v>-889.78769925176789</v>
      </c>
      <c r="K14" s="230">
        <f>'Red Bull Model'!K105</f>
        <v>-958.27979717979508</v>
      </c>
      <c r="L14" s="230">
        <f>'Red Bull Model'!L105</f>
        <v>-1029.4332530428128</v>
      </c>
      <c r="M14" s="230">
        <f>'Red Bull Model'!M105</f>
        <v>-974.54341098255713</v>
      </c>
      <c r="N14" s="230">
        <f>'Red Bull Model'!N105</f>
        <v>-1025.9269349950725</v>
      </c>
      <c r="O14" s="230">
        <f>'Red Bull Model'!O105</f>
        <v>-982.48135052420093</v>
      </c>
      <c r="P14" s="230">
        <f>'Red Bull Model'!P105</f>
        <v>-1008.0258656378301</v>
      </c>
    </row>
    <row r="15" spans="1:19" ht="15" customHeight="1" x14ac:dyDescent="0.25">
      <c r="A15" s="10"/>
      <c r="B15" t="s">
        <v>320</v>
      </c>
      <c r="I15">
        <f t="shared" ref="I15:O15" si="4">SUM(I11:I14)</f>
        <v>2354.4612023665763</v>
      </c>
      <c r="J15">
        <f t="shared" si="4"/>
        <v>2684.6431983519915</v>
      </c>
      <c r="K15">
        <f t="shared" si="4"/>
        <v>3021.1826972494309</v>
      </c>
      <c r="L15">
        <f t="shared" si="4"/>
        <v>3256.145517199835</v>
      </c>
      <c r="M15">
        <f t="shared" si="4"/>
        <v>3603.7189823633598</v>
      </c>
      <c r="N15">
        <f t="shared" si="4"/>
        <v>3797.5213165716968</v>
      </c>
      <c r="O15">
        <f t="shared" si="4"/>
        <v>4008.2613013094533</v>
      </c>
      <c r="P15">
        <f t="shared" ref="P15" si="5">SUM(P11:P14)</f>
        <v>4116.0612330647018</v>
      </c>
    </row>
    <row r="16" spans="1:19" ht="15" customHeight="1" x14ac:dyDescent="0.25">
      <c r="A16" s="10"/>
    </row>
    <row r="17" spans="1:16" ht="15" customHeight="1" x14ac:dyDescent="0.25">
      <c r="A17" s="10" t="s">
        <v>321</v>
      </c>
    </row>
    <row r="18" spans="1:16" ht="15" customHeight="1" x14ac:dyDescent="0.25">
      <c r="A18" s="10"/>
      <c r="B18" t="s">
        <v>31</v>
      </c>
      <c r="C18" s="63"/>
      <c r="D18" s="234">
        <f>'Red Bull Model'!D12</f>
        <v>0.23914094359411786</v>
      </c>
      <c r="E18" s="234">
        <f>'Red Bull Model'!E12</f>
        <v>0.23908278458899002</v>
      </c>
      <c r="F18" s="234">
        <f>'Red Bull Model'!F12</f>
        <v>8.9813769866666782E-2</v>
      </c>
      <c r="G18" s="234">
        <f>'Red Bull Model'!G12</f>
        <v>6.3768479362581676E-2</v>
      </c>
      <c r="H18" s="234">
        <f>'Red Bull Model'!H12</f>
        <v>8.630978890175478E-2</v>
      </c>
      <c r="I18" s="234">
        <f>'Red Bull Model'!I12</f>
        <v>8.6622266582367047E-2</v>
      </c>
      <c r="J18" s="234">
        <f>'Red Bull Model'!J12</f>
        <v>8.2925779151359791E-2</v>
      </c>
      <c r="K18" s="234">
        <f>'Red Bull Model'!K12</f>
        <v>7.6975775216518327E-2</v>
      </c>
      <c r="L18" s="234">
        <f>'Red Bull Model'!L12</f>
        <v>7.4251232335713846E-2</v>
      </c>
      <c r="M18" s="234">
        <f>'Red Bull Model'!M12</f>
        <v>6.7166040631373658E-2</v>
      </c>
      <c r="N18" s="234">
        <f>'Red Bull Model'!N12</f>
        <v>5.2725741545683658E-2</v>
      </c>
      <c r="O18" s="234">
        <f>'Red Bull Model'!O12</f>
        <v>3.2762349060186713E-2</v>
      </c>
      <c r="P18" s="234">
        <f>'Red Bull Model'!P12</f>
        <v>2.5999999999999801E-2</v>
      </c>
    </row>
    <row r="19" spans="1:16" ht="15" customHeight="1" x14ac:dyDescent="0.25">
      <c r="A19" s="10"/>
      <c r="B19" t="s">
        <v>32</v>
      </c>
      <c r="C19" s="234">
        <f>'Red Bull Model'!C123</f>
        <v>0.25719757428300577</v>
      </c>
      <c r="D19" s="234">
        <f>'Red Bull Model'!D123</f>
        <v>0.28954656283225277</v>
      </c>
      <c r="E19" s="234">
        <f>'Red Bull Model'!E123</f>
        <v>0.23662790413466936</v>
      </c>
      <c r="F19" s="234">
        <f>'Red Bull Model'!F123</f>
        <v>0.25905365116278278</v>
      </c>
      <c r="G19" s="234">
        <f>'Red Bull Model'!G123</f>
        <v>0.26127530173855273</v>
      </c>
      <c r="H19" s="234">
        <f>'Red Bull Model'!H123</f>
        <v>0.26392708050958508</v>
      </c>
      <c r="I19" s="234">
        <f>'Red Bull Model'!I123</f>
        <v>0.27324612678006521</v>
      </c>
      <c r="J19" s="234">
        <f>'Red Bull Model'!J123</f>
        <v>0.28232328506505494</v>
      </c>
      <c r="K19" s="234">
        <f>'Red Bull Model'!K123</f>
        <v>0.29132339161782528</v>
      </c>
      <c r="L19" s="234">
        <f>'Red Bull Model'!L123</f>
        <v>0.29373198725719962</v>
      </c>
      <c r="M19" s="234">
        <f>'Red Bull Model'!M123</f>
        <v>0.29300813084525146</v>
      </c>
      <c r="N19" s="234">
        <f>'Red Bull Model'!N123</f>
        <v>0.29293216211611678</v>
      </c>
      <c r="O19" s="234">
        <f>'Red Bull Model'!O123</f>
        <v>0.29207652761367398</v>
      </c>
      <c r="P19" s="234">
        <f>'Red Bull Model'!P123</f>
        <v>0.2917234729000841</v>
      </c>
    </row>
    <row r="20" spans="1:16" ht="15" customHeight="1" x14ac:dyDescent="0.25">
      <c r="A20" s="10"/>
      <c r="B20" t="s">
        <v>322</v>
      </c>
      <c r="G20" s="63"/>
      <c r="H20" s="63"/>
      <c r="I20" s="63">
        <f t="shared" ref="I20:O20" si="6">I15/I11</f>
        <v>0.87274071112998541</v>
      </c>
      <c r="J20" s="63">
        <f t="shared" si="6"/>
        <v>0.88938314449952527</v>
      </c>
      <c r="K20" s="63">
        <f t="shared" si="6"/>
        <v>0.90062648825964953</v>
      </c>
      <c r="L20" s="63">
        <f t="shared" si="6"/>
        <v>0.89616872925213786</v>
      </c>
      <c r="M20" s="63">
        <f t="shared" si="6"/>
        <v>0.93170080907937292</v>
      </c>
      <c r="N20" s="63">
        <f t="shared" si="6"/>
        <v>0.93287434120469537</v>
      </c>
      <c r="O20" s="63">
        <f t="shared" si="6"/>
        <v>0.95620047904272942</v>
      </c>
      <c r="P20" s="63">
        <f t="shared" ref="P20" si="7">P15/P11</f>
        <v>0.95819230561764634</v>
      </c>
    </row>
    <row r="21" spans="1:16" ht="15" customHeight="1" x14ac:dyDescent="0.25">
      <c r="A21" s="10"/>
    </row>
    <row r="22" spans="1:16" ht="15" customHeight="1" x14ac:dyDescent="0.25">
      <c r="A22" s="10"/>
      <c r="B22" t="s">
        <v>34</v>
      </c>
      <c r="E22" s="43"/>
      <c r="F22" s="43"/>
      <c r="G22" s="236">
        <f ca="1">'Red Bull Model'!G84+'Red Bull Model'!G88+'Red Bull Model'!G91-'Red Bull Model'!G74-'Red Bull Model'!G81</f>
        <v>3046.2372529659315</v>
      </c>
      <c r="H22" s="236">
        <f ca="1">'Red Bull Model'!H84+'Red Bull Model'!H88+'Red Bull Model'!H91-'Red Bull Model'!H74-'Red Bull Model'!H81</f>
        <v>3389.4374182143483</v>
      </c>
      <c r="I22" s="236">
        <f ca="1">'Red Bull Model'!I84+'Red Bull Model'!I88+'Red Bull Model'!I91-'Red Bull Model'!I74-'Red Bull Model'!I81</f>
        <v>3732.7548027067787</v>
      </c>
      <c r="J22" s="236">
        <f ca="1">'Red Bull Model'!J84+'Red Bull Model'!J88+'Red Bull Model'!J91-'Red Bull Model'!J74-'Red Bull Model'!J81</f>
        <v>4066.6567780017403</v>
      </c>
      <c r="K22" s="236">
        <f ca="1">'Red Bull Model'!K84+'Red Bull Model'!K88+'Red Bull Model'!K91-'Red Bull Model'!K74-'Red Bull Model'!K81</f>
        <v>4400.00865932938</v>
      </c>
      <c r="L22" s="236">
        <f ca="1">'Red Bull Model'!L84+'Red Bull Model'!L88+'Red Bull Model'!L91-'Red Bull Model'!L74-'Red Bull Model'!L81</f>
        <v>4777.2699001595001</v>
      </c>
      <c r="M22" s="236">
        <f ca="1">'Red Bull Model'!M84+'Red Bull Model'!M88+'Red Bull Model'!M91-'Red Bull Model'!M74-'Red Bull Model'!M81</f>
        <v>5041.4438585828375</v>
      </c>
      <c r="N22" s="236">
        <f ca="1">'Red Bull Model'!N84+'Red Bull Model'!N88+'Red Bull Model'!N91-'Red Bull Model'!N74-'Red Bull Model'!N81</f>
        <v>5314.6972957337621</v>
      </c>
      <c r="O22" s="236">
        <f ca="1">'Red Bull Model'!O84+'Red Bull Model'!O88+'Red Bull Model'!O91-'Red Bull Model'!O74-'Red Bull Model'!O81</f>
        <v>5498.2988821340086</v>
      </c>
      <c r="P22" s="236">
        <f ca="1">'Red Bull Model'!P84+'Red Bull Model'!P88+'Red Bull Model'!P91-'Red Bull Model'!P74-'Red Bull Model'!P81</f>
        <v>5677.8902116428562</v>
      </c>
    </row>
    <row r="23" spans="1:16" ht="15" customHeight="1" x14ac:dyDescent="0.25">
      <c r="B23" t="s">
        <v>323</v>
      </c>
      <c r="F23" s="63"/>
      <c r="G23" s="63"/>
      <c r="H23" s="63">
        <f t="shared" ref="H23:P23" ca="1" si="8">H22/G22-1</f>
        <v>0.1126636360691422</v>
      </c>
      <c r="I23" s="63">
        <f t="shared" ca="1" si="8"/>
        <v>0.10129037422183762</v>
      </c>
      <c r="J23" s="63">
        <f t="shared" ca="1" si="8"/>
        <v>8.945189088038541E-2</v>
      </c>
      <c r="K23" s="63">
        <f t="shared" ca="1" si="8"/>
        <v>8.1971973423201172E-2</v>
      </c>
      <c r="L23" s="63">
        <f t="shared" ca="1" si="8"/>
        <v>8.5741022356901508E-2</v>
      </c>
      <c r="M23" s="63">
        <f t="shared" ca="1" si="8"/>
        <v>5.5298102042448338E-2</v>
      </c>
      <c r="N23" s="63">
        <f t="shared" ca="1" si="8"/>
        <v>5.4201424198292436E-2</v>
      </c>
      <c r="O23" s="63">
        <f t="shared" ca="1" si="8"/>
        <v>3.4546010089347545E-2</v>
      </c>
      <c r="P23" s="63">
        <f t="shared" ca="1" si="8"/>
        <v>3.2663071498787666E-2</v>
      </c>
    </row>
    <row r="24" spans="1:16" ht="15" customHeight="1" x14ac:dyDescent="0.25">
      <c r="A24" s="10"/>
      <c r="B24" t="s">
        <v>324</v>
      </c>
      <c r="F24" s="63"/>
      <c r="G24" s="63"/>
      <c r="H24" s="63">
        <f t="shared" ref="H24:P24" ca="1" si="9">H11/AVERAGE(G22:H22)</f>
        <v>0.74523553615612059</v>
      </c>
      <c r="I24" s="63">
        <f t="shared" ca="1" si="9"/>
        <v>0.75756972100090192</v>
      </c>
      <c r="J24" s="63">
        <f t="shared" ca="1" si="9"/>
        <v>0.77404433460421107</v>
      </c>
      <c r="K24" s="63">
        <f t="shared" ca="1" si="9"/>
        <v>0.79240985802658426</v>
      </c>
      <c r="L24" s="63">
        <f t="shared" ca="1" si="9"/>
        <v>0.79182662582976315</v>
      </c>
      <c r="M24" s="63">
        <f t="shared" ca="1" si="9"/>
        <v>0.78786143191980118</v>
      </c>
      <c r="N24" s="63">
        <f t="shared" ca="1" si="9"/>
        <v>0.78615667613334139</v>
      </c>
      <c r="O24" s="63">
        <f t="shared" ca="1" si="9"/>
        <v>0.77533790241962297</v>
      </c>
      <c r="P24" s="63">
        <f t="shared" ca="1" si="9"/>
        <v>0.76871508284795576</v>
      </c>
    </row>
    <row r="25" spans="1:16" ht="15" customHeight="1" x14ac:dyDescent="0.25">
      <c r="A25" s="10"/>
      <c r="B25" t="s">
        <v>325</v>
      </c>
      <c r="F25" s="63"/>
      <c r="G25" s="63"/>
      <c r="H25" s="63">
        <f t="shared" ref="H25:P25" ca="1" si="10">(H11-G11)/(H22-G22)</f>
        <v>0.61978426349760252</v>
      </c>
      <c r="I25" s="63">
        <f t="shared" ca="1" si="10"/>
        <v>0.87304595789822126</v>
      </c>
      <c r="J25" s="63">
        <f t="shared" ca="1" si="10"/>
        <v>0.96066094399288104</v>
      </c>
      <c r="K25" s="63">
        <f t="shared" ca="1" si="10"/>
        <v>1.0079121305449821</v>
      </c>
      <c r="L25" s="63">
        <f t="shared" ca="1" si="10"/>
        <v>0.73920177657068054</v>
      </c>
      <c r="M25" s="63">
        <f t="shared" ca="1" si="10"/>
        <v>0.8876203549972107</v>
      </c>
      <c r="N25" s="63">
        <f t="shared" ca="1" si="10"/>
        <v>0.74246756070581099</v>
      </c>
      <c r="O25" s="63">
        <f t="shared" ca="1" si="10"/>
        <v>0.65951572838324046</v>
      </c>
      <c r="P25" s="63">
        <f t="shared" ca="1" si="10"/>
        <v>0.57792141273022346</v>
      </c>
    </row>
    <row r="26" spans="1:16" ht="15" customHeight="1" x14ac:dyDescent="0.25">
      <c r="A26" s="10"/>
    </row>
    <row r="27" spans="1:16" ht="15" customHeight="1" x14ac:dyDescent="0.25">
      <c r="A27" s="10" t="s">
        <v>326</v>
      </c>
    </row>
    <row r="28" spans="1:16" ht="15" customHeight="1" x14ac:dyDescent="0.25">
      <c r="A28" s="10"/>
      <c r="B28" t="s">
        <v>327</v>
      </c>
      <c r="H28" s="44">
        <v>2.5999999999999999E-2</v>
      </c>
    </row>
    <row r="29" spans="1:16" ht="15" customHeight="1" x14ac:dyDescent="0.25">
      <c r="A29" s="10"/>
      <c r="B29" t="s">
        <v>328</v>
      </c>
      <c r="H29" s="234">
        <f ca="1">WACC!D31</f>
        <v>5.5612558610683829E-2</v>
      </c>
    </row>
    <row r="30" spans="1:16" ht="15" customHeight="1" x14ac:dyDescent="0.25">
      <c r="A30" s="10"/>
      <c r="B30" t="s">
        <v>329</v>
      </c>
      <c r="O30" s="43"/>
      <c r="P30" s="243">
        <f ca="1">P15*(1+ltg)/(WACC-ltg)</f>
        <v>142611.0752753648</v>
      </c>
    </row>
    <row r="31" spans="1:16" ht="15" customHeight="1" x14ac:dyDescent="0.25">
      <c r="A31" s="10"/>
      <c r="B31" t="s">
        <v>653</v>
      </c>
      <c r="O31" s="120"/>
      <c r="P31" s="249">
        <f ca="1">(P30*(1+WACC)^0.5)/P7</f>
        <v>22.195123289836179</v>
      </c>
    </row>
    <row r="32" spans="1:16" ht="15" customHeight="1" x14ac:dyDescent="0.25">
      <c r="A32" s="10"/>
    </row>
    <row r="33" spans="1:20" ht="15" customHeight="1" x14ac:dyDescent="0.25">
      <c r="A33" s="10" t="s">
        <v>331</v>
      </c>
    </row>
    <row r="34" spans="1:20" ht="15" customHeight="1" x14ac:dyDescent="0.25">
      <c r="A34" s="10"/>
      <c r="B34" t="s">
        <v>332</v>
      </c>
      <c r="I34" s="3">
        <v>0.5</v>
      </c>
      <c r="J34">
        <f>I34+1</f>
        <v>1.5</v>
      </c>
      <c r="K34">
        <f t="shared" ref="K34:P34" si="11">J34+1</f>
        <v>2.5</v>
      </c>
      <c r="L34">
        <f t="shared" si="11"/>
        <v>3.5</v>
      </c>
      <c r="M34">
        <f t="shared" si="11"/>
        <v>4.5</v>
      </c>
      <c r="N34">
        <f t="shared" si="11"/>
        <v>5.5</v>
      </c>
      <c r="O34">
        <f t="shared" si="11"/>
        <v>6.5</v>
      </c>
      <c r="P34">
        <f t="shared" si="11"/>
        <v>7.5</v>
      </c>
    </row>
    <row r="35" spans="1:20" ht="15" customHeight="1" x14ac:dyDescent="0.25">
      <c r="A35" s="10"/>
      <c r="B35" t="s">
        <v>333</v>
      </c>
      <c r="I35" s="63">
        <f t="shared" ref="I35:P35" ca="1" si="12">1/(1+WACC)^I34</f>
        <v>0.97330224657018494</v>
      </c>
      <c r="J35" s="63">
        <f t="shared" ca="1" si="12"/>
        <v>0.92202602046642057</v>
      </c>
      <c r="K35" s="63">
        <f t="shared" ca="1" si="12"/>
        <v>0.87345116628767683</v>
      </c>
      <c r="L35" s="63">
        <f t="shared" ca="1" si="12"/>
        <v>0.82743536836777132</v>
      </c>
      <c r="M35" s="63">
        <f t="shared" ca="1" si="12"/>
        <v>0.78384380861930825</v>
      </c>
      <c r="N35" s="63">
        <f t="shared" ca="1" si="12"/>
        <v>0.74254877154070931</v>
      </c>
      <c r="O35" s="63">
        <f t="shared" ca="1" si="12"/>
        <v>0.70342927003255329</v>
      </c>
      <c r="P35" s="63">
        <f t="shared" ca="1" si="12"/>
        <v>0.66637069092693713</v>
      </c>
      <c r="Q35" s="63"/>
      <c r="R35" s="63"/>
    </row>
    <row r="36" spans="1:20" ht="15" customHeight="1" x14ac:dyDescent="0.25">
      <c r="A36" s="10"/>
      <c r="B36" t="s">
        <v>334</v>
      </c>
      <c r="I36">
        <f ca="1">I35*I15</f>
        <v>2291.6023777257274</v>
      </c>
      <c r="J36">
        <f t="shared" ref="J36:P36" ca="1" si="13">J35*J15</f>
        <v>2475.31088454873</v>
      </c>
      <c r="K36">
        <f t="shared" ca="1" si="13"/>
        <v>2638.8555504806645</v>
      </c>
      <c r="L36">
        <f t="shared" ca="1" si="13"/>
        <v>2694.2499654833127</v>
      </c>
      <c r="M36">
        <f t="shared" ca="1" si="13"/>
        <v>2824.7528123293937</v>
      </c>
      <c r="N36">
        <f t="shared" ca="1" si="13"/>
        <v>2819.8447885199707</v>
      </c>
      <c r="O36">
        <f t="shared" ca="1" si="13"/>
        <v>2819.5283212798408</v>
      </c>
      <c r="P36">
        <f t="shared" ca="1" si="13"/>
        <v>2742.822567774906</v>
      </c>
    </row>
    <row r="37" spans="1:20" ht="15" customHeight="1" x14ac:dyDescent="0.25">
      <c r="A37" s="10"/>
      <c r="B37" t="s">
        <v>335</v>
      </c>
      <c r="H37">
        <f ca="1">SUM(I36:P36)</f>
        <v>21306.967268142547</v>
      </c>
      <c r="T37" s="43"/>
    </row>
    <row r="38" spans="1:20" ht="15" customHeight="1" x14ac:dyDescent="0.25">
      <c r="A38" s="10"/>
      <c r="B38" t="s">
        <v>336</v>
      </c>
      <c r="H38">
        <f ca="1">P30*P35</f>
        <v>95031.840765078276</v>
      </c>
      <c r="T38" s="43"/>
    </row>
    <row r="39" spans="1:20" ht="15" customHeight="1" x14ac:dyDescent="0.25">
      <c r="A39" s="10"/>
      <c r="B39" t="s">
        <v>337</v>
      </c>
      <c r="H39">
        <f ca="1">SUM(H37:H38)</f>
        <v>116338.80803322082</v>
      </c>
      <c r="T39" s="43"/>
    </row>
    <row r="40" spans="1:20" ht="15" customHeight="1" x14ac:dyDescent="0.25">
      <c r="A40" s="10"/>
      <c r="T40" s="43"/>
    </row>
    <row r="41" spans="1:20" ht="15" customHeight="1" x14ac:dyDescent="0.25">
      <c r="A41" s="10"/>
      <c r="B41" t="s">
        <v>338</v>
      </c>
      <c r="H41" s="230">
        <f ca="1">'Red Bull Model'!H74+'Red Bull Model'!H81</f>
        <v>2666.7257016278827</v>
      </c>
      <c r="T41" s="43"/>
    </row>
    <row r="42" spans="1:20" ht="15" customHeight="1" x14ac:dyDescent="0.25">
      <c r="A42" s="10"/>
      <c r="B42" t="s">
        <v>339</v>
      </c>
      <c r="H42" s="230">
        <f ca="1">'Red Bull Model'!H84+'Red Bull Model'!H88</f>
        <v>462.40000000000003</v>
      </c>
      <c r="T42" s="43"/>
    </row>
    <row r="43" spans="1:20" ht="15" customHeight="1" x14ac:dyDescent="0.25">
      <c r="A43" s="10"/>
      <c r="B43" t="s">
        <v>283</v>
      </c>
      <c r="H43">
        <f ca="1">H39+H41-H42</f>
        <v>118543.13373484871</v>
      </c>
      <c r="T43" s="43"/>
    </row>
    <row r="44" spans="1:20" ht="15" customHeight="1" x14ac:dyDescent="0.25">
      <c r="A44" s="10"/>
      <c r="B44" t="str">
        <f>"Implied "&amp;YEAR(H3)&amp;" EBITDA multiple"</f>
        <v>Implied 2025 EBITDA multiple</v>
      </c>
      <c r="H44" s="171">
        <f ca="1">H39/H7</f>
        <v>31.310333557016804</v>
      </c>
      <c r="T44" s="43"/>
    </row>
    <row r="45" spans="1:20" ht="15" customHeight="1" x14ac:dyDescent="0.25">
      <c r="A45" s="10"/>
      <c r="B45" t="str">
        <f>"Implied forward "&amp;YEAR(I3)&amp;" EBITDA multiple"</f>
        <v>Implied forward 2026 EBITDA multiple</v>
      </c>
      <c r="H45" s="171">
        <f ca="1">H39/I7</f>
        <v>27.868785326975669</v>
      </c>
      <c r="T45" s="43"/>
    </row>
    <row r="46" spans="1:20" ht="15" customHeight="1" x14ac:dyDescent="0.25">
      <c r="A46" s="10"/>
      <c r="B46" t="str">
        <f>"Implied forward "&amp;YEAR(J3)&amp;" EBITDA multiple"</f>
        <v>Implied forward 2027 EBITDA multiple</v>
      </c>
      <c r="H46" s="171">
        <f ca="1">H39/J7</f>
        <v>24.942876751128164</v>
      </c>
      <c r="T46" s="43"/>
    </row>
    <row r="47" spans="1:20" ht="15" customHeight="1" x14ac:dyDescent="0.25">
      <c r="A47" s="10"/>
    </row>
    <row r="48" spans="1:20" ht="15" customHeight="1" x14ac:dyDescent="0.25">
      <c r="A48" s="10" t="s">
        <v>340</v>
      </c>
    </row>
    <row r="49" spans="1:10" ht="15" customHeight="1" x14ac:dyDescent="0.25">
      <c r="A49" s="10"/>
      <c r="B49" t="s">
        <v>341</v>
      </c>
      <c r="H49" s="65">
        <v>1E-3</v>
      </c>
    </row>
    <row r="50" spans="1:10" ht="15" customHeight="1" x14ac:dyDescent="0.25">
      <c r="A50" s="10"/>
      <c r="B50" t="s">
        <v>342</v>
      </c>
      <c r="H50" s="65">
        <v>1E-3</v>
      </c>
    </row>
    <row r="51" spans="1:10" ht="15" customHeight="1" x14ac:dyDescent="0.25">
      <c r="A51" s="10"/>
      <c r="B51" t="s">
        <v>343</v>
      </c>
      <c r="H51" s="234">
        <f ca="1">WACC!D31</f>
        <v>5.5612558610683829E-2</v>
      </c>
    </row>
    <row r="52" spans="1:10" ht="15" customHeight="1" x14ac:dyDescent="0.25">
      <c r="A52" s="10"/>
    </row>
    <row r="53" spans="1:10" ht="15" customHeight="1" x14ac:dyDescent="0.25">
      <c r="A53" s="10"/>
      <c r="C53" t="s">
        <v>284</v>
      </c>
    </row>
    <row r="54" spans="1:10" ht="15" customHeight="1" x14ac:dyDescent="0.25">
      <c r="A54" s="10"/>
      <c r="E54" s="43"/>
      <c r="H54" s="121" t="s">
        <v>344</v>
      </c>
    </row>
    <row r="55" spans="1:10" ht="15" customHeight="1" x14ac:dyDescent="0.25">
      <c r="A55" s="10"/>
      <c r="E55">
        <f ca="1">H39</f>
        <v>116338.80803322082</v>
      </c>
      <c r="F55" s="122">
        <f>G55-$H$50</f>
        <v>2.3999999999999997E-2</v>
      </c>
      <c r="G55" s="122">
        <f>H55-$H$50</f>
        <v>2.4999999999999998E-2</v>
      </c>
      <c r="H55" s="122">
        <v>2.5999999999999999E-2</v>
      </c>
      <c r="I55" s="122">
        <f>H55+$H$50</f>
        <v>2.7E-2</v>
      </c>
      <c r="J55" s="122">
        <f>I55+$H$50</f>
        <v>2.8000000000000001E-2</v>
      </c>
    </row>
    <row r="56" spans="1:10" ht="15" customHeight="1" x14ac:dyDescent="0.25">
      <c r="A56" s="10"/>
      <c r="E56" s="122">
        <f ca="1">E57+$H$49</f>
        <v>5.7612558610683831E-2</v>
      </c>
      <c r="F56">
        <f t="dataTable" ref="F56:J60" dt2D="1" dtr="1" r1="H28" r2="H29" ca="1"/>
        <v>103522.92420104344</v>
      </c>
      <c r="G56">
        <v>106131.91463691572</v>
      </c>
      <c r="H56">
        <v>108905.96545072216</v>
      </c>
      <c r="I56">
        <v>111861.25239373199</v>
      </c>
      <c r="J56">
        <v>115016.13620250837</v>
      </c>
    </row>
    <row r="57" spans="1:10" ht="15" customHeight="1" x14ac:dyDescent="0.25">
      <c r="A57" s="10"/>
      <c r="E57" s="122">
        <f ca="1">E58+$H$49</f>
        <v>5.661255861068383E-2</v>
      </c>
      <c r="F57">
        <v>106736.1616540446</v>
      </c>
      <c r="G57" s="157">
        <v>109527.32217016032</v>
      </c>
      <c r="H57" s="157">
        <v>112500.83663790829</v>
      </c>
      <c r="I57" s="157">
        <v>115675.17903861812</v>
      </c>
      <c r="J57">
        <v>119071.40599316334</v>
      </c>
    </row>
    <row r="58" spans="1:10" ht="15" customHeight="1" x14ac:dyDescent="0.25">
      <c r="A58" s="10"/>
      <c r="D58" s="4" t="s">
        <v>328</v>
      </c>
      <c r="E58" s="122">
        <f ca="1">H51</f>
        <v>5.5612558610683829E-2</v>
      </c>
      <c r="F58">
        <v>110152.99659435746</v>
      </c>
      <c r="G58" s="157">
        <v>113144.86842901114</v>
      </c>
      <c r="H58" s="157">
        <v>116338.80803322082</v>
      </c>
      <c r="I58" s="157">
        <v>119756.00202356688</v>
      </c>
      <c r="J58">
        <v>123420.70614425083</v>
      </c>
    </row>
    <row r="59" spans="1:10" ht="15" customHeight="1" x14ac:dyDescent="0.25">
      <c r="A59" s="10"/>
      <c r="E59" s="122">
        <f ca="1">E58-$H$49</f>
        <v>5.4612558610683828E-2</v>
      </c>
      <c r="F59">
        <v>113793.38326719266</v>
      </c>
      <c r="G59" s="157">
        <v>117007.05980657089</v>
      </c>
      <c r="H59" s="157">
        <v>120445.370331543</v>
      </c>
      <c r="I59" s="157">
        <v>124132.72047457079</v>
      </c>
      <c r="J59">
        <v>128097.1841561328</v>
      </c>
    </row>
    <row r="60" spans="1:10" ht="15" customHeight="1" x14ac:dyDescent="0.25">
      <c r="A60" s="10"/>
      <c r="E60" s="122">
        <f ca="1">E59-$H$49</f>
        <v>5.3612558610683828E-2</v>
      </c>
      <c r="F60">
        <v>117679.971307573</v>
      </c>
      <c r="G60">
        <v>121139.54907522682</v>
      </c>
      <c r="H60">
        <v>124849.70686456072</v>
      </c>
      <c r="I60">
        <v>128838.69224380131</v>
      </c>
      <c r="J60">
        <v>133139.16429954889</v>
      </c>
    </row>
    <row r="61" spans="1:10" ht="15" customHeight="1" x14ac:dyDescent="0.25">
      <c r="A61" s="10"/>
    </row>
    <row r="62" spans="1:10" ht="15" customHeight="1" x14ac:dyDescent="0.25">
      <c r="A62" s="10"/>
      <c r="C62" t="str">
        <f>B44</f>
        <v>Implied 2025 EBITDA multiple</v>
      </c>
    </row>
    <row r="63" spans="1:10" ht="15" customHeight="1" x14ac:dyDescent="0.25">
      <c r="A63" s="10"/>
      <c r="E63" s="43"/>
      <c r="H63" s="121" t="s">
        <v>344</v>
      </c>
    </row>
    <row r="64" spans="1:10" ht="15" customHeight="1" x14ac:dyDescent="0.25">
      <c r="A64" s="10"/>
      <c r="E64" s="120">
        <f ca="1">H44</f>
        <v>31.310333557016804</v>
      </c>
      <c r="F64" s="122">
        <f>G64-$H$50</f>
        <v>2.3999999999999997E-2</v>
      </c>
      <c r="G64" s="122">
        <f>H64-$H$50</f>
        <v>2.4999999999999998E-2</v>
      </c>
      <c r="H64" s="122">
        <f>H55</f>
        <v>2.5999999999999999E-2</v>
      </c>
      <c r="I64" s="122">
        <f>H64+$H$50</f>
        <v>2.7E-2</v>
      </c>
      <c r="J64" s="122">
        <f>I64+$H$50</f>
        <v>2.8000000000000001E-2</v>
      </c>
    </row>
    <row r="65" spans="1:18" ht="15" customHeight="1" x14ac:dyDescent="0.25">
      <c r="A65" s="10"/>
      <c r="E65" s="122">
        <f ca="1">E66+$H$49</f>
        <v>5.7612558610683831E-2</v>
      </c>
      <c r="F65" s="120">
        <f t="dataTable" ref="F65:J69" dt2D="1" dtr="1" r1="H28" r2="H29" ca="1"/>
        <v>27.861187013424324</v>
      </c>
      <c r="G65" s="120">
        <v>28.563346182623494</v>
      </c>
      <c r="H65" s="120">
        <v>29.309928150865694</v>
      </c>
      <c r="I65" s="120">
        <v>30.105286307843819</v>
      </c>
      <c r="J65" s="120">
        <v>30.954362089660432</v>
      </c>
    </row>
    <row r="66" spans="1:18" ht="15" customHeight="1" x14ac:dyDescent="0.25">
      <c r="A66" s="10"/>
      <c r="E66" s="122">
        <f ca="1">E67+$H$49</f>
        <v>5.661255861068383E-2</v>
      </c>
      <c r="F66" s="120">
        <v>28.725967546697767</v>
      </c>
      <c r="G66" s="1">
        <v>29.47715425943943</v>
      </c>
      <c r="H66" s="1">
        <v>30.277418001141328</v>
      </c>
      <c r="I66" s="1">
        <v>31.131730685538315</v>
      </c>
      <c r="J66" s="120">
        <v>32.045759293702986</v>
      </c>
    </row>
    <row r="67" spans="1:18" ht="15" customHeight="1" x14ac:dyDescent="0.25">
      <c r="A67" s="10"/>
      <c r="D67" s="4" t="s">
        <v>328</v>
      </c>
      <c r="E67" s="122">
        <f ca="1">$E$58</f>
        <v>5.5612558610683829E-2</v>
      </c>
      <c r="F67" s="120">
        <v>29.645542394498481</v>
      </c>
      <c r="G67" s="1">
        <v>30.450746665425005</v>
      </c>
      <c r="H67" s="1">
        <v>31.310333557016804</v>
      </c>
      <c r="I67" s="1">
        <v>32.230005036169452</v>
      </c>
      <c r="J67" s="120">
        <v>33.216289065945858</v>
      </c>
    </row>
    <row r="68" spans="1:18" ht="15" customHeight="1" x14ac:dyDescent="0.25">
      <c r="A68" s="10"/>
      <c r="E68" s="122">
        <f ca="1">E67-$H$49</f>
        <v>5.4612558610683828E-2</v>
      </c>
      <c r="F68" s="120">
        <v>30.625281854872195</v>
      </c>
      <c r="G68" s="1">
        <v>31.490180559727062</v>
      </c>
      <c r="H68" s="1">
        <v>32.415535144576666</v>
      </c>
      <c r="I68" s="1">
        <v>33.407913912001767</v>
      </c>
      <c r="J68" s="120">
        <v>34.474872413149036</v>
      </c>
    </row>
    <row r="69" spans="1:18" ht="15" customHeight="1" x14ac:dyDescent="0.25">
      <c r="A69" s="10"/>
      <c r="E69" s="122">
        <f ca="1">E68-$H$49</f>
        <v>5.3612558610683828E-2</v>
      </c>
      <c r="F69" s="120">
        <v>31.671281637750077</v>
      </c>
      <c r="G69" s="120">
        <v>32.602359888446522</v>
      </c>
      <c r="H69" s="120">
        <v>33.600876891474755</v>
      </c>
      <c r="I69" s="120">
        <v>34.674434931904578</v>
      </c>
      <c r="J69" s="120">
        <v>35.831823569405806</v>
      </c>
    </row>
    <row r="70" spans="1:18" ht="15" customHeight="1" x14ac:dyDescent="0.25">
      <c r="A70" s="10"/>
    </row>
    <row r="71" spans="1:18" ht="15" customHeight="1" x14ac:dyDescent="0.25">
      <c r="A71" s="10"/>
      <c r="C71" t="s">
        <v>330</v>
      </c>
    </row>
    <row r="72" spans="1:18" ht="15" customHeight="1" x14ac:dyDescent="0.25">
      <c r="A72" s="10"/>
      <c r="E72" s="43"/>
      <c r="H72" s="121" t="s">
        <v>344</v>
      </c>
    </row>
    <row r="73" spans="1:18" ht="15" customHeight="1" x14ac:dyDescent="0.25">
      <c r="A73" s="10"/>
      <c r="E73" s="120">
        <f ca="1">P31</f>
        <v>22.195123289836179</v>
      </c>
      <c r="F73" s="122">
        <f>G73-$H$50</f>
        <v>2.3999999999999997E-2</v>
      </c>
      <c r="G73" s="122">
        <f>H73-$H$50</f>
        <v>2.4999999999999998E-2</v>
      </c>
      <c r="H73" s="122">
        <f>H64</f>
        <v>2.5999999999999999E-2</v>
      </c>
      <c r="I73" s="122">
        <f>H73+$H$50</f>
        <v>2.7E-2</v>
      </c>
      <c r="J73" s="122">
        <f>I73+$H$50</f>
        <v>2.8000000000000001E-2</v>
      </c>
    </row>
    <row r="74" spans="1:18" ht="15" customHeight="1" x14ac:dyDescent="0.25">
      <c r="A74" s="10"/>
      <c r="E74" s="122">
        <f ca="1">E75+$H$49</f>
        <v>5.7612558610683831E-2</v>
      </c>
      <c r="F74" s="120">
        <f t="dataTable" ref="F74:J78" dt2D="1" dtr="1" r1="H28" r2="H29" ca="1"/>
        <v>19.534196129647473</v>
      </c>
      <c r="G74" s="120">
        <v>20.152835156214476</v>
      </c>
      <c r="H74" s="120">
        <v>20.810612996832294</v>
      </c>
      <c r="I74" s="120">
        <v>21.511365215971239</v>
      </c>
      <c r="J74" s="120">
        <v>22.259445477806647</v>
      </c>
    </row>
    <row r="75" spans="1:18" ht="15" customHeight="1" x14ac:dyDescent="0.25">
      <c r="A75" s="10"/>
      <c r="E75" s="122">
        <f ca="1">E76+$H$49</f>
        <v>5.661255861068383E-2</v>
      </c>
      <c r="F75" s="120">
        <v>20.123653384595922</v>
      </c>
      <c r="G75" s="1">
        <v>20.780498526857993</v>
      </c>
      <c r="H75" s="1">
        <v>21.480257111973089</v>
      </c>
      <c r="I75" s="1">
        <v>22.227276630823408</v>
      </c>
      <c r="J75" s="120">
        <v>23.026512348093078</v>
      </c>
    </row>
    <row r="76" spans="1:18" ht="15" customHeight="1" x14ac:dyDescent="0.25">
      <c r="A76" s="10"/>
      <c r="D76" s="4" t="s">
        <v>328</v>
      </c>
      <c r="E76" s="122">
        <f ca="1">$E$58</f>
        <v>5.5612558610683829E-2</v>
      </c>
      <c r="F76" s="120">
        <v>20.750398590957108</v>
      </c>
      <c r="G76" s="1">
        <v>21.449164012135068</v>
      </c>
      <c r="H76" s="1">
        <v>22.195123289836179</v>
      </c>
      <c r="I76" s="1">
        <v>22.993224655761619</v>
      </c>
      <c r="J76" s="120">
        <v>23.849133150477847</v>
      </c>
    </row>
    <row r="77" spans="1:18" ht="15" customHeight="1" x14ac:dyDescent="0.25">
      <c r="A77" s="10"/>
      <c r="E77" s="122">
        <f ca="1">E76-$H$49</f>
        <v>5.4612558610683828E-2</v>
      </c>
      <c r="F77" s="120">
        <v>21.418085923698371</v>
      </c>
      <c r="G77" s="1">
        <v>22.162985462323778</v>
      </c>
      <c r="H77" s="1">
        <v>22.959953014073129</v>
      </c>
      <c r="I77" s="1">
        <v>23.814645571533546</v>
      </c>
      <c r="J77" s="120">
        <v>24.733570401430736</v>
      </c>
    </row>
    <row r="78" spans="1:18" ht="15" customHeight="1" x14ac:dyDescent="0.25">
      <c r="A78" s="10"/>
      <c r="E78" s="122">
        <f ca="1">E77-$H$49</f>
        <v>5.3612558610683828E-2</v>
      </c>
      <c r="F78" s="120">
        <v>22.130863155775874</v>
      </c>
      <c r="G78" s="120">
        <v>22.926697430771892</v>
      </c>
      <c r="H78" s="120">
        <v>23.780174627325216</v>
      </c>
      <c r="I78" s="120">
        <v>24.69779275891894</v>
      </c>
      <c r="J78" s="120">
        <v>25.687064655803496</v>
      </c>
    </row>
    <row r="79" spans="1:18" ht="15" customHeight="1" x14ac:dyDescent="0.25">
      <c r="A79" s="10"/>
      <c r="B79" s="43"/>
      <c r="C79" s="43"/>
      <c r="D79" s="43"/>
      <c r="E79" s="43"/>
      <c r="F79" s="43"/>
      <c r="G79" s="43"/>
      <c r="H79" s="43"/>
      <c r="I79" s="43"/>
      <c r="J79" s="43"/>
      <c r="K79" s="43"/>
      <c r="L79" s="43"/>
      <c r="M79" s="43"/>
      <c r="N79" s="43"/>
      <c r="O79" s="43"/>
      <c r="P79" s="43"/>
      <c r="Q79" s="43"/>
      <c r="R79" s="43"/>
    </row>
    <row r="80" spans="1:18" ht="15" customHeight="1" x14ac:dyDescent="0.25">
      <c r="A80" s="10" t="s">
        <v>38</v>
      </c>
      <c r="B80" s="43"/>
      <c r="C80" s="43"/>
      <c r="D80" s="43"/>
      <c r="E80" s="43"/>
      <c r="F80" s="43"/>
      <c r="G80" s="43"/>
      <c r="H80" s="43"/>
      <c r="I80" s="43"/>
      <c r="J80" s="43"/>
      <c r="K80" s="43"/>
      <c r="L80" s="43"/>
      <c r="M80" s="43"/>
      <c r="N80" s="43"/>
      <c r="O80" s="43"/>
      <c r="P80" s="43"/>
      <c r="Q80" s="43"/>
      <c r="R80" s="43"/>
    </row>
  </sheetData>
  <printOptions headings="1" gridLines="1"/>
  <pageMargins left="0.31496062992125984" right="0.11811023622047245" top="0.74803149606299213" bottom="0.74803149606299213" header="0" footer="0"/>
  <pageSetup paperSize="9" scale="66" fitToHeight="0" orientation="landscape" r:id="rId1"/>
  <headerFooter>
    <oddHeader>&amp;R&amp;F  &amp;A</oddHeader>
    <oddFooter>&amp;L© 2016&amp;CPage &amp;P of</oddFooter>
  </headerFooter>
  <rowBreaks count="1" manualBreakCount="1">
    <brk id="39" max="18" man="1"/>
  </rowBreaks>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4"/>
    <pageSetUpPr fitToPage="1"/>
  </sheetPr>
  <dimension ref="A1:BH71"/>
  <sheetViews>
    <sheetView zoomScaleNormal="100" zoomScaleSheetLayoutView="85" workbookViewId="0">
      <pane xSplit="3" topLeftCell="D1" activePane="topRight" state="frozen"/>
      <selection pane="topRight"/>
    </sheetView>
  </sheetViews>
  <sheetFormatPr defaultColWidth="12.5703125" defaultRowHeight="15" customHeight="1" outlineLevelCol="2" x14ac:dyDescent="0.25"/>
  <cols>
    <col min="1" max="1" width="1.5703125" customWidth="1"/>
    <col min="2" max="2" width="9.5703125" customWidth="1"/>
    <col min="3" max="3" width="22.42578125" bestFit="1" customWidth="1"/>
    <col min="4" max="4" width="10.5703125" customWidth="1"/>
    <col min="5" max="5" width="12.140625" bestFit="1" customWidth="1"/>
    <col min="6" max="6" width="9.5703125" customWidth="1"/>
    <col min="7" max="8" width="10.28515625" bestFit="1" customWidth="1"/>
    <col min="9" max="9" width="9.7109375" customWidth="1"/>
    <col min="10" max="10" width="10.5703125" bestFit="1" customWidth="1"/>
    <col min="11" max="12" width="9.5703125" hidden="1" customWidth="1" outlineLevel="1"/>
    <col min="13" max="13" width="10.28515625" hidden="1" customWidth="1" outlineLevel="1"/>
    <col min="14" max="14" width="2.5703125" hidden="1" customWidth="1" outlineLevel="1"/>
    <col min="15" max="17" width="9.5703125" hidden="1" customWidth="1" outlineLevel="1"/>
    <col min="18" max="18" width="2.5703125" hidden="1" customWidth="1" outlineLevel="1"/>
    <col min="19" max="21" width="9.5703125" hidden="1" customWidth="1" outlineLevel="1"/>
    <col min="22" max="22" width="2.5703125" hidden="1" customWidth="1" outlineLevel="1"/>
    <col min="23" max="25" width="9.5703125" hidden="1" customWidth="1" outlineLevel="1"/>
    <col min="26" max="26" width="2.5703125" hidden="1" customWidth="1" outlineLevel="1"/>
    <col min="27" max="29" width="9.5703125" hidden="1" customWidth="1" outlineLevel="1"/>
    <col min="30" max="30" width="1.5703125" customWidth="1" collapsed="1"/>
    <col min="31" max="33" width="9.5703125" customWidth="1"/>
    <col min="34" max="34" width="1.5703125" customWidth="1"/>
    <col min="35" max="36" width="9.5703125" customWidth="1"/>
    <col min="37" max="37" width="10.85546875" bestFit="1" customWidth="1"/>
    <col min="38" max="38" width="1.5703125" customWidth="1"/>
    <col min="39" max="41" width="9.5703125" customWidth="1"/>
    <col min="42" max="42" width="1.5703125" customWidth="1"/>
    <col min="43" max="45" width="9.5703125" hidden="1" customWidth="1" outlineLevel="2"/>
    <col min="46" max="46" width="1.5703125" hidden="1" customWidth="1" outlineLevel="2"/>
    <col min="47" max="49" width="9.5703125" hidden="1" customWidth="1" outlineLevel="2"/>
    <col min="50" max="50" width="1.5703125" hidden="1" customWidth="1" outlineLevel="2"/>
    <col min="51" max="51" width="11.28515625" customWidth="1" collapsed="1"/>
    <col min="52" max="53" width="9.5703125" customWidth="1"/>
    <col min="54" max="54" width="10.7109375" bestFit="1" customWidth="1"/>
    <col min="55" max="55" width="10.7109375" customWidth="1"/>
    <col min="56" max="56" width="11" bestFit="1" customWidth="1"/>
    <col min="57" max="60" width="9.5703125" customWidth="1"/>
  </cols>
  <sheetData>
    <row r="1" spans="1:60" ht="30" customHeight="1" x14ac:dyDescent="0.45">
      <c r="A1" s="180" t="s">
        <v>131</v>
      </c>
      <c r="B1" s="89"/>
      <c r="C1" s="68"/>
      <c r="D1" s="68"/>
      <c r="E1" s="68"/>
      <c r="F1" s="68"/>
      <c r="G1" s="68"/>
      <c r="H1" s="68"/>
      <c r="I1" s="68"/>
      <c r="J1" s="68"/>
      <c r="K1" s="68"/>
      <c r="L1" s="68"/>
      <c r="M1" s="68"/>
      <c r="N1" s="68"/>
      <c r="O1" s="68"/>
      <c r="P1" s="68"/>
      <c r="Q1" s="68"/>
      <c r="R1" s="68"/>
      <c r="S1" s="68"/>
      <c r="T1" s="68"/>
      <c r="U1" s="68"/>
      <c r="V1" s="68"/>
      <c r="W1" s="68"/>
      <c r="X1" s="68"/>
      <c r="Y1" s="68"/>
      <c r="Z1" s="68"/>
      <c r="AA1" s="68"/>
      <c r="AB1" s="68"/>
      <c r="AC1" s="68"/>
      <c r="AD1" s="68"/>
      <c r="AE1" s="68"/>
      <c r="AF1" s="68"/>
      <c r="AG1" s="68"/>
      <c r="AH1" s="68"/>
      <c r="AI1" s="68"/>
      <c r="AJ1" s="68"/>
      <c r="AK1" s="68"/>
      <c r="AL1" s="68"/>
      <c r="AM1" s="68"/>
      <c r="AN1" s="68"/>
      <c r="AO1" s="68"/>
      <c r="AP1" s="68"/>
      <c r="AQ1" s="68"/>
      <c r="AR1" s="68"/>
      <c r="AS1" s="68"/>
      <c r="AT1" s="68"/>
      <c r="AU1" s="68"/>
      <c r="AV1" s="68"/>
      <c r="AW1" s="68"/>
      <c r="AX1" s="68"/>
      <c r="AY1" s="68"/>
      <c r="AZ1" s="68"/>
      <c r="BA1" s="68"/>
      <c r="BB1" s="68"/>
      <c r="BC1" s="68"/>
      <c r="BD1" s="68"/>
      <c r="BE1" s="68"/>
      <c r="BF1" s="72"/>
      <c r="BG1" s="72"/>
      <c r="BH1" s="72"/>
    </row>
    <row r="2" spans="1:60" ht="15.75" customHeight="1" x14ac:dyDescent="0.25">
      <c r="A2" s="73"/>
      <c r="E2" s="43"/>
      <c r="F2" s="43"/>
      <c r="G2" s="43"/>
      <c r="H2" s="43"/>
      <c r="I2" s="43"/>
      <c r="J2" s="43"/>
    </row>
    <row r="3" spans="1:60" ht="15.75" customHeight="1" x14ac:dyDescent="0.25">
      <c r="A3" s="78"/>
      <c r="C3" t="s">
        <v>245</v>
      </c>
      <c r="D3" s="42" t="s">
        <v>155</v>
      </c>
      <c r="F3" t="s">
        <v>674</v>
      </c>
      <c r="G3" s="56">
        <v>1.1803999999999999</v>
      </c>
    </row>
    <row r="4" spans="1:60" ht="15.75" customHeight="1" x14ac:dyDescent="0.25">
      <c r="A4" s="78"/>
      <c r="C4" t="s">
        <v>143</v>
      </c>
      <c r="D4" s="178">
        <v>46076</v>
      </c>
      <c r="F4" t="s">
        <v>676</v>
      </c>
      <c r="G4" s="56">
        <v>1.3495999999999999</v>
      </c>
    </row>
    <row r="5" spans="1:60" ht="15.75" customHeight="1" x14ac:dyDescent="0.25">
      <c r="A5" s="78"/>
      <c r="C5" t="s">
        <v>246</v>
      </c>
      <c r="D5" s="178">
        <v>46022</v>
      </c>
    </row>
    <row r="6" spans="1:60" ht="15.75" customHeight="1" x14ac:dyDescent="0.25">
      <c r="A6" s="78"/>
      <c r="AY6" s="63"/>
    </row>
    <row r="7" spans="1:60" ht="15.75" customHeight="1" x14ac:dyDescent="0.25">
      <c r="A7" s="78"/>
      <c r="C7" t="str">
        <f>"All data in "&amp;D3&amp;"m unless otherwise stated, as of "&amp;TEXT(D4,"dd-mmm-yy")</f>
        <v>All data in USDm unless otherwise stated, as of 23-Feb-26</v>
      </c>
    </row>
    <row r="8" spans="1:60" ht="15.75" customHeight="1" thickBot="1" x14ac:dyDescent="0.3">
      <c r="A8" s="118"/>
      <c r="B8" s="118"/>
      <c r="C8" s="118"/>
      <c r="D8" s="69"/>
      <c r="E8" s="69" t="s">
        <v>247</v>
      </c>
      <c r="F8" s="69" t="s">
        <v>247</v>
      </c>
      <c r="G8" s="69"/>
      <c r="H8" s="69"/>
      <c r="I8" s="224" t="s">
        <v>248</v>
      </c>
      <c r="J8" s="225"/>
      <c r="K8" s="119"/>
      <c r="L8" s="119" t="s">
        <v>75</v>
      </c>
      <c r="M8" s="119"/>
      <c r="N8" s="77"/>
      <c r="O8" s="119"/>
      <c r="P8" s="119" t="s">
        <v>18</v>
      </c>
      <c r="Q8" s="119"/>
      <c r="R8" s="69"/>
      <c r="S8" s="119"/>
      <c r="T8" s="119" t="s">
        <v>17</v>
      </c>
      <c r="U8" s="119"/>
      <c r="V8" s="69"/>
      <c r="W8" s="119"/>
      <c r="X8" s="119" t="s">
        <v>37</v>
      </c>
      <c r="Y8" s="119"/>
      <c r="Z8" s="69"/>
      <c r="AA8" s="119"/>
      <c r="AB8" s="119" t="s">
        <v>249</v>
      </c>
      <c r="AC8" s="119"/>
      <c r="AD8" s="69"/>
      <c r="AE8" s="119"/>
      <c r="AF8" s="119" t="s">
        <v>167</v>
      </c>
      <c r="AG8" s="119"/>
      <c r="AH8" s="77"/>
      <c r="AI8" s="119"/>
      <c r="AJ8" s="119" t="s">
        <v>134</v>
      </c>
      <c r="AK8" s="119"/>
      <c r="AL8" s="69"/>
      <c r="AM8" s="119"/>
      <c r="AN8" s="119" t="s">
        <v>169</v>
      </c>
      <c r="AO8" s="119"/>
      <c r="AP8" s="69"/>
      <c r="AQ8" s="119"/>
      <c r="AR8" s="119" t="s">
        <v>230</v>
      </c>
      <c r="AS8" s="119"/>
      <c r="AT8" s="69"/>
      <c r="AU8" s="119"/>
      <c r="AV8" s="119" t="s">
        <v>231</v>
      </c>
      <c r="AW8" s="119"/>
      <c r="AX8" s="69"/>
      <c r="AY8" s="69" t="s">
        <v>250</v>
      </c>
      <c r="AZ8" s="69" t="s">
        <v>251</v>
      </c>
      <c r="BA8" s="69" t="s">
        <v>252</v>
      </c>
      <c r="BB8" s="69" t="s">
        <v>253</v>
      </c>
      <c r="BC8" s="69" t="s">
        <v>254</v>
      </c>
      <c r="BD8" s="77" t="s">
        <v>255</v>
      </c>
      <c r="BE8" s="77" t="s">
        <v>256</v>
      </c>
      <c r="BF8" s="77" t="s">
        <v>257</v>
      </c>
      <c r="BG8" s="77" t="s">
        <v>207</v>
      </c>
      <c r="BH8" s="77"/>
    </row>
    <row r="9" spans="1:60" ht="15.75" customHeight="1" x14ac:dyDescent="0.25">
      <c r="A9" s="118"/>
      <c r="B9" s="118"/>
      <c r="C9" s="69" t="s">
        <v>258</v>
      </c>
      <c r="D9" s="69" t="s">
        <v>259</v>
      </c>
      <c r="E9" s="69" t="s">
        <v>260</v>
      </c>
      <c r="F9" s="69" t="s">
        <v>261</v>
      </c>
      <c r="G9" s="69" t="s">
        <v>262</v>
      </c>
      <c r="H9" s="69" t="s">
        <v>263</v>
      </c>
      <c r="I9" s="69" t="s">
        <v>133</v>
      </c>
      <c r="J9" s="69" t="s">
        <v>673</v>
      </c>
      <c r="K9" s="69" t="s">
        <v>132</v>
      </c>
      <c r="L9" s="69" t="str">
        <f>I9</f>
        <v>2026e</v>
      </c>
      <c r="M9" s="69" t="str">
        <f>+J9</f>
        <v>2027e</v>
      </c>
      <c r="N9" s="77"/>
      <c r="O9" s="69" t="s">
        <v>132</v>
      </c>
      <c r="P9" s="69" t="str">
        <f>L9</f>
        <v>2026e</v>
      </c>
      <c r="Q9" s="69" t="str">
        <f>M9</f>
        <v>2027e</v>
      </c>
      <c r="R9" s="69"/>
      <c r="S9" s="69" t="s">
        <v>132</v>
      </c>
      <c r="T9" s="69" t="str">
        <f>P9</f>
        <v>2026e</v>
      </c>
      <c r="U9" s="69" t="str">
        <f>Q9</f>
        <v>2027e</v>
      </c>
      <c r="V9" s="69"/>
      <c r="W9" s="69" t="s">
        <v>132</v>
      </c>
      <c r="X9" s="69" t="str">
        <f>L9</f>
        <v>2026e</v>
      </c>
      <c r="Y9" s="69" t="str">
        <f>M9</f>
        <v>2027e</v>
      </c>
      <c r="Z9" s="69"/>
      <c r="AA9" s="69" t="s">
        <v>132</v>
      </c>
      <c r="AB9" s="69" t="str">
        <f>X9</f>
        <v>2026e</v>
      </c>
      <c r="AC9" s="69" t="str">
        <f>Y9</f>
        <v>2027e</v>
      </c>
      <c r="AD9" s="69"/>
      <c r="AE9" s="69" t="s">
        <v>132</v>
      </c>
      <c r="AF9" s="69" t="str">
        <f>L9</f>
        <v>2026e</v>
      </c>
      <c r="AG9" s="69" t="str">
        <f>M9</f>
        <v>2027e</v>
      </c>
      <c r="AH9" s="77"/>
      <c r="AI9" s="69" t="s">
        <v>132</v>
      </c>
      <c r="AJ9" s="69" t="str">
        <f>P9</f>
        <v>2026e</v>
      </c>
      <c r="AK9" s="69" t="str">
        <f>Q9</f>
        <v>2027e</v>
      </c>
      <c r="AL9" s="69"/>
      <c r="AM9" s="69" t="s">
        <v>132</v>
      </c>
      <c r="AN9" s="69" t="str">
        <f>T9</f>
        <v>2026e</v>
      </c>
      <c r="AO9" s="69" t="str">
        <f>U9</f>
        <v>2027e</v>
      </c>
      <c r="AP9" s="69"/>
      <c r="AQ9" s="69" t="s">
        <v>132</v>
      </c>
      <c r="AR9" s="69" t="str">
        <f>AJ9</f>
        <v>2026e</v>
      </c>
      <c r="AS9" s="69" t="str">
        <f>AK9</f>
        <v>2027e</v>
      </c>
      <c r="AT9" s="69"/>
      <c r="AU9" s="69" t="s">
        <v>132</v>
      </c>
      <c r="AV9" s="69" t="str">
        <f>AN9</f>
        <v>2026e</v>
      </c>
      <c r="AW9" s="69" t="str">
        <f>AO9</f>
        <v>2027e</v>
      </c>
      <c r="AX9" s="69"/>
      <c r="AY9" s="69" t="s">
        <v>264</v>
      </c>
      <c r="AZ9" s="69" t="s">
        <v>265</v>
      </c>
      <c r="BA9" s="69" t="s">
        <v>266</v>
      </c>
      <c r="BB9" s="69" t="s">
        <v>267</v>
      </c>
      <c r="BC9" s="69" t="s">
        <v>267</v>
      </c>
      <c r="BD9" s="77" t="s">
        <v>250</v>
      </c>
      <c r="BE9" s="77" t="s">
        <v>164</v>
      </c>
      <c r="BF9" s="77" t="s">
        <v>268</v>
      </c>
      <c r="BG9" s="77" t="s">
        <v>269</v>
      </c>
      <c r="BH9" s="77" t="s">
        <v>138</v>
      </c>
    </row>
    <row r="10" spans="1:60" ht="15.75" customHeight="1" x14ac:dyDescent="0.25">
      <c r="A10" s="73" t="s">
        <v>270</v>
      </c>
    </row>
    <row r="11" spans="1:60" ht="15.75" customHeight="1" x14ac:dyDescent="0.25">
      <c r="A11" s="78"/>
      <c r="B11" s="8">
        <v>1</v>
      </c>
      <c r="C11" t="str" cm="1">
        <f t="array" aca="1" ref="C11" ca="1">INDIRECT($B11&amp;"!"&amp;C$70)</f>
        <v>Coca-Cola Company</v>
      </c>
      <c r="D11" s="74" cm="1">
        <f t="array" aca="1" ref="D11" ca="1">INDIRECT($B11&amp;"!"&amp;D$70)</f>
        <v>79.84</v>
      </c>
      <c r="E11" s="74">
        <f ca="1">INDIRECT($B11&amp;"!"&amp;E$70)*INDIRECT($B11&amp;"!"&amp;E$71)</f>
        <v>80.41</v>
      </c>
      <c r="F11" s="227">
        <f t="shared" ref="F11:F18" ca="1" si="0">D11/E11</f>
        <v>0.99291132943663729</v>
      </c>
      <c r="G11" cm="1">
        <f t="array" aca="1" ref="G11" ca="1">INDIRECT($B11&amp;"!"&amp;G$70)</f>
        <v>344591.76486895996</v>
      </c>
      <c r="H11" cm="1">
        <f t="array" aca="1" ref="H11" ca="1">INDIRECT($B11&amp;"!"&amp;H$70)</f>
        <v>356148.76486895996</v>
      </c>
      <c r="I11" s="64">
        <f t="shared" ref="I11:M13" ca="1" si="1">INDIRECT($B11&amp;"!"&amp;I$70)</f>
        <v>24.71826625386997</v>
      </c>
      <c r="J11" s="64">
        <f t="shared" ca="1" si="1"/>
        <v>23.075144508670522</v>
      </c>
      <c r="K11">
        <f t="shared" ca="1" si="1"/>
        <v>48062</v>
      </c>
      <c r="L11">
        <f t="shared" ca="1" si="1"/>
        <v>49005</v>
      </c>
      <c r="M11">
        <f t="shared" ca="1" si="1"/>
        <v>49824.7</v>
      </c>
      <c r="O11">
        <f t="shared" ref="O11:Q13" ca="1" si="2">INDIRECT($B11&amp;"!"&amp;O$70)</f>
        <v>16063</v>
      </c>
      <c r="P11">
        <f t="shared" ca="1" si="2"/>
        <v>17272.8</v>
      </c>
      <c r="Q11">
        <f t="shared" ca="1" si="2"/>
        <v>18252.099999999999</v>
      </c>
      <c r="S11">
        <f t="shared" ref="S11:U13" ca="1" si="3">INDIRECT($B11&amp;"!"&amp;S$70)</f>
        <v>15013</v>
      </c>
      <c r="T11">
        <f t="shared" ca="1" si="3"/>
        <v>16172.8</v>
      </c>
      <c r="U11">
        <f t="shared" ca="1" si="3"/>
        <v>17152.099999999999</v>
      </c>
      <c r="W11">
        <f t="shared" ref="W11:Y13" ca="1" si="4">INDIRECT($B11&amp;"!"&amp;W$70)</f>
        <v>16452</v>
      </c>
      <c r="X11">
        <f t="shared" ca="1" si="4"/>
        <v>17669.43237068786</v>
      </c>
      <c r="Y11">
        <f t="shared" ca="1" si="4"/>
        <v>18655.366786650575</v>
      </c>
      <c r="AA11">
        <f t="shared" ref="AA11:AC13" ca="1" si="5">INDIRECT($B11&amp;"!"&amp;AA$70)</f>
        <v>15142.537</v>
      </c>
      <c r="AB11">
        <f t="shared" ca="1" si="5"/>
        <v>16304.878579439057</v>
      </c>
      <c r="AC11">
        <f t="shared" ca="1" si="5"/>
        <v>17286.387839954641</v>
      </c>
      <c r="AE11" s="83">
        <f t="shared" ref="AE11:AG12" ca="1" si="6">IFERROR($H11/K11,"N/A ")</f>
        <v>7.4101944336265646</v>
      </c>
      <c r="AF11" s="83">
        <f t="shared" ca="1" si="6"/>
        <v>7.267600548290174</v>
      </c>
      <c r="AG11" s="83">
        <f t="shared" ca="1" si="6"/>
        <v>7.1480363126914961</v>
      </c>
      <c r="AI11" s="83">
        <f t="shared" ref="AI11:AK12" ca="1" si="7">IFERROR($H11/O11,"N/A ")</f>
        <v>22.171995571746248</v>
      </c>
      <c r="AJ11" s="83">
        <f t="shared" ca="1" si="7"/>
        <v>20.619052201667358</v>
      </c>
      <c r="AK11" s="83">
        <f t="shared" ca="1" si="7"/>
        <v>19.512755511363622</v>
      </c>
      <c r="AM11" s="83">
        <f t="shared" ref="AM11:AO12" ca="1" si="8">IFERROR($H11/S11,"N/A ")</f>
        <v>23.722691325448608</v>
      </c>
      <c r="AN11" s="83">
        <f t="shared" ca="1" si="8"/>
        <v>22.021465971814404</v>
      </c>
      <c r="AO11" s="83">
        <f t="shared" ca="1" si="8"/>
        <v>20.764149280202425</v>
      </c>
      <c r="AQ11" s="83">
        <f t="shared" ref="AQ11:AS13" ca="1" si="9">IFERROR(INDIRECT($B11&amp;"!"&amp;AQ$70)/W11,"N/A ")</f>
        <v>21.752417023398976</v>
      </c>
      <c r="AR11" s="83">
        <f t="shared" ca="1" si="9"/>
        <v>20.253665050533158</v>
      </c>
      <c r="AS11" s="83">
        <f t="shared" ca="1" si="9"/>
        <v>19.183260718574854</v>
      </c>
      <c r="AU11" s="83">
        <f t="shared" ref="AU11:AW13" ca="1" si="10">IFERROR(INDIRECT($B11&amp;"!"&amp;AU$70)/AA11,"N/A ")</f>
        <v>23.633474685844252</v>
      </c>
      <c r="AV11" s="83">
        <f t="shared" ca="1" si="10"/>
        <v>21.94869241898224</v>
      </c>
      <c r="AW11" s="83">
        <f t="shared" ca="1" si="10"/>
        <v>20.702460698110716</v>
      </c>
      <c r="AY11" s="63">
        <f t="shared" ref="AY11:AY17" ca="1" si="11">O11/K11</f>
        <v>0.33421414006907746</v>
      </c>
      <c r="AZ11" s="63">
        <f t="shared" ref="AZ11:BA13" ca="1" si="12">INDIRECT($B11&amp;"!"&amp;AZ$70)</f>
        <v>6.5000000000000002E-2</v>
      </c>
      <c r="BA11" s="63">
        <f t="shared" ca="1" si="12"/>
        <v>0.26677722636417694</v>
      </c>
      <c r="BB11" s="63">
        <f t="shared" ref="BB11:BC18" ca="1" si="13">+L11/K11-1</f>
        <v>1.9620490200158214E-2</v>
      </c>
      <c r="BC11" s="63">
        <f t="shared" ca="1" si="13"/>
        <v>1.6726864605652425E-2</v>
      </c>
      <c r="BD11" s="83">
        <f ca="1">INDIRECT("'"&amp;$B11&amp;"'!"&amp;BD$70)/INDIRECT("'"&amp;$B11&amp;"'!"&amp;BD$71)</f>
        <v>2.8320986117163667</v>
      </c>
      <c r="BE11" s="74">
        <f t="shared" ref="BE11:BH13" ca="1" si="14">INDIRECT("'"&amp;$B11&amp;"'!"&amp;BE$70)</f>
        <v>0.56999999999999995</v>
      </c>
      <c r="BF11" s="79" t="str">
        <f t="shared" ca="1" si="14"/>
        <v>A+</v>
      </c>
      <c r="BG11">
        <f t="shared" ca="1" si="14"/>
        <v>45492</v>
      </c>
      <c r="BH11" t="str">
        <f t="shared" ca="1" si="14"/>
        <v>KO-US</v>
      </c>
    </row>
    <row r="12" spans="1:60" ht="15.75" customHeight="1" x14ac:dyDescent="0.25">
      <c r="A12" s="78"/>
      <c r="B12" s="8">
        <v>2</v>
      </c>
      <c r="C12" t="str" cm="1">
        <f t="array" aca="1" ref="C12" ca="1">INDIRECT($B12&amp;"!"&amp;C$70)</f>
        <v>Keurig Dr Pepper</v>
      </c>
      <c r="D12" s="74" cm="1">
        <f t="array" aca="1" ref="D12" ca="1">INDIRECT($B12&amp;"!"&amp;D$70)*INDIRECT($B12&amp;"!"&amp;D$71)</f>
        <v>29.54</v>
      </c>
      <c r="E12" s="74">
        <f ca="1">INDIRECT($B12&amp;"!"&amp;E$70)*INDIRECT($B12&amp;"!"&amp;E$71)</f>
        <v>36.119999999999997</v>
      </c>
      <c r="F12" s="227">
        <f t="shared" ref="F12" ca="1" si="15">D12/E12</f>
        <v>0.81782945736434109</v>
      </c>
      <c r="G12">
        <f ca="1">INDIRECT($B12&amp;"!"&amp;G$70)</f>
        <v>40504.205149380003</v>
      </c>
      <c r="H12">
        <f ca="1">INDIRECT($B12&amp;"!"&amp;H$70)</f>
        <v>55157.205149380003</v>
      </c>
      <c r="I12" s="64">
        <f t="shared" ca="1" si="1"/>
        <v>13.612903225806452</v>
      </c>
      <c r="J12" s="64">
        <f t="shared" ca="1" si="1"/>
        <v>12.787878787878787</v>
      </c>
      <c r="K12">
        <f t="shared" ca="1" si="1"/>
        <v>16174</v>
      </c>
      <c r="L12">
        <f t="shared" ca="1" si="1"/>
        <v>17216.2</v>
      </c>
      <c r="M12">
        <f t="shared" ca="1" si="1"/>
        <v>17827</v>
      </c>
      <c r="O12">
        <f t="shared" ca="1" si="2"/>
        <v>4530</v>
      </c>
      <c r="P12">
        <f t="shared" ca="1" si="2"/>
        <v>5066.3999999999996</v>
      </c>
      <c r="Q12">
        <f t="shared" ca="1" si="2"/>
        <v>5298.7</v>
      </c>
      <c r="S12">
        <f t="shared" ca="1" si="3"/>
        <v>3948</v>
      </c>
      <c r="T12">
        <f t="shared" ca="1" si="3"/>
        <v>4466.3999999999996</v>
      </c>
      <c r="U12">
        <f t="shared" ca="1" si="3"/>
        <v>4698.7</v>
      </c>
      <c r="W12">
        <f t="shared" ca="1" si="4"/>
        <v>4709</v>
      </c>
      <c r="X12">
        <f t="shared" ca="1" si="4"/>
        <v>5257.0555924695454</v>
      </c>
      <c r="Y12">
        <f t="shared" ca="1" si="4"/>
        <v>5496.1197120708748</v>
      </c>
      <c r="AA12">
        <f t="shared" ca="1" si="5"/>
        <v>4007.607</v>
      </c>
      <c r="AB12">
        <f t="shared" ca="1" si="5"/>
        <v>4529.888312292358</v>
      </c>
      <c r="AC12">
        <f t="shared" ca="1" si="5"/>
        <v>4764.4407641196012</v>
      </c>
      <c r="AE12" s="83">
        <f t="shared" ca="1" si="6"/>
        <v>3.4102389730048226</v>
      </c>
      <c r="AF12" s="83">
        <f t="shared" ca="1" si="6"/>
        <v>3.2037967233988915</v>
      </c>
      <c r="AG12" s="83">
        <f t="shared" ca="1" si="6"/>
        <v>3.0940262045986429</v>
      </c>
      <c r="AI12" s="83">
        <f t="shared" ca="1" si="7"/>
        <v>12.175983476684328</v>
      </c>
      <c r="AJ12" s="83">
        <f t="shared" ca="1" si="7"/>
        <v>10.886863482824097</v>
      </c>
      <c r="AK12" s="83">
        <f t="shared" ca="1" si="7"/>
        <v>10.409573131028367</v>
      </c>
      <c r="AM12" s="83">
        <f t="shared" ca="1" si="8"/>
        <v>13.970923290116515</v>
      </c>
      <c r="AN12" s="83">
        <f t="shared" ca="1" si="8"/>
        <v>12.349365294057856</v>
      </c>
      <c r="AO12" s="145">
        <f t="shared" ca="1" si="8"/>
        <v>11.738822472041203</v>
      </c>
      <c r="AQ12" s="83">
        <f t="shared" ca="1" si="9"/>
        <v>11.908091983304312</v>
      </c>
      <c r="AR12" s="83">
        <f t="shared" ca="1" si="9"/>
        <v>10.666656298956545</v>
      </c>
      <c r="AS12" s="83">
        <f t="shared" ca="1" si="9"/>
        <v>10.202689913435584</v>
      </c>
      <c r="AU12" s="83">
        <f t="shared" ca="1" si="10"/>
        <v>13.992191636899527</v>
      </c>
      <c r="AV12" s="83">
        <f t="shared" ca="1" si="10"/>
        <v>12.378937687539375</v>
      </c>
      <c r="AW12" s="83">
        <f t="shared" ca="1" si="10"/>
        <v>11.76952509760962</v>
      </c>
      <c r="AY12" s="63">
        <f t="shared" ref="AY12" ca="1" si="16">O12/K12</f>
        <v>0.28007913935946582</v>
      </c>
      <c r="AZ12" s="63">
        <f t="shared" ca="1" si="12"/>
        <v>6.5000000000000002E-2</v>
      </c>
      <c r="BA12" s="63">
        <f t="shared" ca="1" si="12"/>
        <v>7.5943967781474359E-2</v>
      </c>
      <c r="BB12" s="63">
        <f t="shared" ca="1" si="13"/>
        <v>6.4436750340052029E-2</v>
      </c>
      <c r="BC12" s="63">
        <f t="shared" ca="1" si="13"/>
        <v>3.5478212381361729E-2</v>
      </c>
      <c r="BD12" s="83">
        <f ca="1">INDIRECT("'"&amp;$B12&amp;"'!"&amp;BD$70)/INDIRECT("'"&amp;$B12&amp;"'!"&amp;BD$71)</f>
        <v>3.7172185430463576</v>
      </c>
      <c r="BE12" s="74">
        <f t="shared" ca="1" si="14"/>
        <v>0.55000000000000004</v>
      </c>
      <c r="BF12" s="79" t="str">
        <f t="shared" ca="1" si="14"/>
        <v>BBB</v>
      </c>
      <c r="BG12">
        <f t="shared" ca="1" si="14"/>
        <v>16839</v>
      </c>
      <c r="BH12" t="str">
        <f t="shared" ca="1" si="14"/>
        <v>KDP-US</v>
      </c>
    </row>
    <row r="13" spans="1:60" ht="15.75" customHeight="1" x14ac:dyDescent="0.25">
      <c r="A13" s="142"/>
      <c r="B13" s="8">
        <v>3</v>
      </c>
      <c r="C13" t="str" cm="1">
        <f t="array" aca="1" ref="C13" ca="1">INDIRECT($B13&amp;"!"&amp;C$70)</f>
        <v>Monster Beverage</v>
      </c>
      <c r="D13" s="74" cm="1">
        <f t="array" aca="1" ref="D13" ca="1">INDIRECT($B13&amp;"!"&amp;D$70)</f>
        <v>83.76</v>
      </c>
      <c r="E13" s="74">
        <f ca="1">INDIRECT($B13&amp;"!"&amp;E$70)*INDIRECT($B13&amp;"!"&amp;E$71)</f>
        <v>83.98</v>
      </c>
      <c r="F13" s="227">
        <f ca="1">D13/E13</f>
        <v>0.99738032864967852</v>
      </c>
      <c r="G13" cm="1">
        <f t="array" aca="1" ref="G13" ca="1">INDIRECT($B13&amp;"!"&amp;G$70)</f>
        <v>83024.654632160004</v>
      </c>
      <c r="H13" cm="1">
        <f t="array" aca="1" ref="H13" ca="1">INDIRECT($B13&amp;"!"&amp;H$70)</f>
        <v>80086.150632160003</v>
      </c>
      <c r="I13" s="64">
        <f t="shared" ca="1" si="1"/>
        <v>37.061946902654874</v>
      </c>
      <c r="J13" s="64">
        <f t="shared" ca="1" si="1"/>
        <v>32.847058823529416</v>
      </c>
      <c r="K13">
        <f t="shared" ca="1" si="1"/>
        <v>7975.3310000000001</v>
      </c>
      <c r="L13">
        <f t="shared" ca="1" si="1"/>
        <v>9006.9</v>
      </c>
      <c r="M13">
        <f t="shared" ca="1" si="1"/>
        <v>9819.6</v>
      </c>
      <c r="O13">
        <f t="shared" ca="1" si="2"/>
        <v>2552.9789999999998</v>
      </c>
      <c r="P13">
        <f t="shared" ca="1" si="2"/>
        <v>2914.6</v>
      </c>
      <c r="Q13">
        <f t="shared" ca="1" si="2"/>
        <v>3212.8</v>
      </c>
      <c r="S13">
        <f t="shared" ca="1" si="3"/>
        <v>2450.3440000000001</v>
      </c>
      <c r="T13">
        <f t="shared" ca="1" si="3"/>
        <v>2834.6</v>
      </c>
      <c r="U13">
        <f t="shared" ca="1" si="3"/>
        <v>3132.8</v>
      </c>
      <c r="W13">
        <f t="shared" ca="1" si="4"/>
        <v>2568.7749999999996</v>
      </c>
      <c r="X13">
        <f t="shared" ca="1" si="4"/>
        <v>2933.588191373774</v>
      </c>
      <c r="Y13">
        <f t="shared" ca="1" si="4"/>
        <v>3233.5015115093888</v>
      </c>
      <c r="AA13">
        <f t="shared" ca="1" si="5"/>
        <v>2455.6040679999996</v>
      </c>
      <c r="AB13">
        <f t="shared" ca="1" si="5"/>
        <v>2840.9230677274668</v>
      </c>
      <c r="AC13">
        <f t="shared" ca="1" si="5"/>
        <v>3139.6936033326265</v>
      </c>
      <c r="AE13" s="83">
        <f t="shared" ref="AE13:AG14" ca="1" si="17">IFERROR($H13/K13,"N/A ")</f>
        <v>10.041733770317496</v>
      </c>
      <c r="AF13" s="83">
        <f t="shared" ca="1" si="17"/>
        <v>8.891644254089643</v>
      </c>
      <c r="AG13" s="83">
        <f t="shared" ca="1" si="17"/>
        <v>8.1557446975599817</v>
      </c>
      <c r="AI13" s="83">
        <f t="shared" ref="AI13:AK14" ca="1" si="18">IFERROR($H13/O13,"N/A ")</f>
        <v>31.369686406413845</v>
      </c>
      <c r="AJ13" s="83">
        <f t="shared" ca="1" si="18"/>
        <v>27.477578615302274</v>
      </c>
      <c r="AK13" s="83">
        <f t="shared" ca="1" si="18"/>
        <v>24.927213219671316</v>
      </c>
      <c r="AM13" s="83">
        <f t="shared" ref="AM13:AO14" ca="1" si="19">IFERROR($H13/S13,"N/A ")</f>
        <v>32.683635698563144</v>
      </c>
      <c r="AN13" s="83">
        <f t="shared" ca="1" si="19"/>
        <v>28.253069439130744</v>
      </c>
      <c r="AO13" s="145">
        <f t="shared" ca="1" si="19"/>
        <v>25.56376105469867</v>
      </c>
      <c r="AQ13" s="83">
        <f t="shared" ca="1" si="9"/>
        <v>31.198737776628946</v>
      </c>
      <c r="AR13" s="83">
        <f t="shared" ca="1" si="9"/>
        <v>27.318946083782109</v>
      </c>
      <c r="AS13" s="83">
        <f t="shared" ca="1" si="9"/>
        <v>24.785062677997544</v>
      </c>
      <c r="AU13" s="83">
        <f t="shared" ca="1" si="10"/>
        <v>32.636587744958895</v>
      </c>
      <c r="AV13" s="83">
        <f t="shared" ca="1" si="10"/>
        <v>28.21003445766247</v>
      </c>
      <c r="AW13" s="83">
        <f t="shared" ca="1" si="10"/>
        <v>25.525591907150666</v>
      </c>
      <c r="AY13" s="63">
        <f ca="1">O13/K13</f>
        <v>0.32010947257236094</v>
      </c>
      <c r="AZ13" s="63">
        <f t="shared" ca="1" si="12"/>
        <v>0.125</v>
      </c>
      <c r="BA13" s="63">
        <f t="shared" ca="1" si="12"/>
        <v>0.40274074086403067</v>
      </c>
      <c r="BB13" s="63">
        <f t="shared" ca="1" si="13"/>
        <v>0.12934497640286025</v>
      </c>
      <c r="BC13" s="63">
        <f t="shared" ca="1" si="13"/>
        <v>9.0230823035672758E-2</v>
      </c>
      <c r="BD13" s="83">
        <f ca="1">INDIRECT("'"&amp;$B13&amp;"'!"&amp;BD$70)/INDIRECT("'"&amp;$B13&amp;"'!"&amp;BD$71)</f>
        <v>0</v>
      </c>
      <c r="BE13" s="74">
        <f t="shared" ca="1" si="14"/>
        <v>0.63</v>
      </c>
      <c r="BF13" s="79" t="str">
        <f t="shared" ca="1" si="14"/>
        <v>N/A</v>
      </c>
      <c r="BG13">
        <f t="shared" ca="1" si="14"/>
        <v>0</v>
      </c>
      <c r="BH13" t="str">
        <f t="shared" ca="1" si="14"/>
        <v>MNST-US</v>
      </c>
    </row>
    <row r="14" spans="1:60" ht="15.75" customHeight="1" x14ac:dyDescent="0.25">
      <c r="A14" s="142"/>
      <c r="B14" s="8">
        <v>4</v>
      </c>
      <c r="C14" t="s">
        <v>13</v>
      </c>
      <c r="D14" s="143">
        <v>164.94</v>
      </c>
      <c r="E14" s="143">
        <v>171.48</v>
      </c>
      <c r="F14" s="227">
        <f>D14/E14</f>
        <v>0.96186144156752984</v>
      </c>
      <c r="G14" s="3">
        <v>226465.5</v>
      </c>
      <c r="H14" s="3">
        <v>262775.5</v>
      </c>
      <c r="I14" s="144">
        <v>19.100000000000001</v>
      </c>
      <c r="J14" s="64">
        <f>D14/9.2</f>
        <v>17.928260869565218</v>
      </c>
      <c r="K14" s="3">
        <v>93925</v>
      </c>
      <c r="L14" s="3">
        <v>98553.2</v>
      </c>
      <c r="M14" s="3">
        <v>101645.2</v>
      </c>
      <c r="O14" s="3">
        <v>18363</v>
      </c>
      <c r="P14" s="3">
        <v>19494.599999999999</v>
      </c>
      <c r="Q14" s="3">
        <v>20515.599999999999</v>
      </c>
      <c r="S14" s="52">
        <f>O14-3451</f>
        <v>14912</v>
      </c>
      <c r="T14" s="52">
        <f t="shared" ref="T14:U14" si="20">P14-3451</f>
        <v>16043.599999999999</v>
      </c>
      <c r="U14" s="52">
        <f t="shared" si="20"/>
        <v>17064.599999999999</v>
      </c>
      <c r="AE14" s="83">
        <f t="shared" si="17"/>
        <v>2.7977162629757784</v>
      </c>
      <c r="AF14" s="83">
        <f t="shared" si="17"/>
        <v>2.6663314839091985</v>
      </c>
      <c r="AG14" s="83">
        <f t="shared" si="17"/>
        <v>2.5852229126412265</v>
      </c>
      <c r="AI14" s="83">
        <f t="shared" si="18"/>
        <v>14.310052823612699</v>
      </c>
      <c r="AJ14" s="83">
        <f t="shared" si="18"/>
        <v>13.479399423430079</v>
      </c>
      <c r="AK14" s="83">
        <f t="shared" si="18"/>
        <v>12.808570063756362</v>
      </c>
      <c r="AM14" s="83">
        <f t="shared" si="19"/>
        <v>17.621747585836911</v>
      </c>
      <c r="AN14" s="83">
        <f t="shared" si="19"/>
        <v>16.378836420753448</v>
      </c>
      <c r="AO14" s="83">
        <f t="shared" si="19"/>
        <v>15.398866659634566</v>
      </c>
      <c r="AY14" s="63">
        <f>O14/K14</f>
        <v>0.19550705350013309</v>
      </c>
      <c r="AZ14" s="60">
        <v>7.8E-2</v>
      </c>
      <c r="BA14" s="60">
        <v>0.14000000000000001</v>
      </c>
      <c r="BB14" s="63">
        <f t="shared" si="13"/>
        <v>4.9275485759914694E-2</v>
      </c>
      <c r="BC14" s="63">
        <f t="shared" si="13"/>
        <v>3.1373917843357635E-2</v>
      </c>
      <c r="BD14" s="241">
        <f t="shared" ref="BD14:BD18" si="21">BG14/O14</f>
        <v>2.6783205358601534</v>
      </c>
      <c r="BE14" s="143">
        <v>0.6</v>
      </c>
      <c r="BF14" s="71" t="s">
        <v>162</v>
      </c>
      <c r="BG14" s="55">
        <v>49182</v>
      </c>
      <c r="BH14" t="s">
        <v>273</v>
      </c>
    </row>
    <row r="15" spans="1:60" ht="15.75" customHeight="1" x14ac:dyDescent="0.25">
      <c r="A15" s="142"/>
      <c r="B15" s="8">
        <v>5</v>
      </c>
      <c r="C15" t="s">
        <v>14</v>
      </c>
      <c r="D15" s="143">
        <f>73.6*G3</f>
        <v>86.877439999999979</v>
      </c>
      <c r="E15" s="143">
        <f>80.14*G3</f>
        <v>94.597255999999987</v>
      </c>
      <c r="F15" s="227">
        <f>D15/E15</f>
        <v>0.91839281257798844</v>
      </c>
      <c r="G15" s="3">
        <f>47110*G3</f>
        <v>55608.643999999993</v>
      </c>
      <c r="H15" s="3">
        <f>55640*G3</f>
        <v>65677.455999999991</v>
      </c>
      <c r="I15" s="144">
        <v>18.36</v>
      </c>
      <c r="J15" s="240">
        <f>D15/(4.34*G3)</f>
        <v>16.958525345622117</v>
      </c>
      <c r="K15" s="3">
        <v>32204.853199999998</v>
      </c>
      <c r="L15" s="3">
        <v>33183.876960000001</v>
      </c>
      <c r="M15" s="3">
        <v>34531.893759999999</v>
      </c>
      <c r="O15" s="3">
        <v>5542.5681999999997</v>
      </c>
      <c r="P15" s="3">
        <v>5872.6080400000001</v>
      </c>
      <c r="Q15" s="3">
        <v>6176.0888799999993</v>
      </c>
      <c r="S15" s="52">
        <f>O15-1168</f>
        <v>4374.5681999999997</v>
      </c>
      <c r="T15" s="52">
        <f t="shared" ref="T15:U15" si="22">P15-1168</f>
        <v>4704.6080400000001</v>
      </c>
      <c r="U15" s="52">
        <f t="shared" si="22"/>
        <v>5008.0888799999993</v>
      </c>
      <c r="AE15" s="83">
        <f t="shared" ref="AE15" si="23">IFERROR($H15/K15,"N/A ")</f>
        <v>2.0393651724517099</v>
      </c>
      <c r="AF15" s="83">
        <f t="shared" ref="AF15" si="24">IFERROR($H15/L15,"N/A ")</f>
        <v>1.9791977917218022</v>
      </c>
      <c r="AG15" s="83">
        <f t="shared" ref="AG15" si="25">IFERROR($H15/M15,"N/A ")</f>
        <v>1.901936119011157</v>
      </c>
      <c r="AI15" s="83">
        <f t="shared" ref="AI15" si="26">IFERROR($H15/O15,"N/A ")</f>
        <v>11.849643275476518</v>
      </c>
      <c r="AJ15" s="83">
        <f t="shared" ref="AJ15" si="27">IFERROR($H15/P15,"N/A ")</f>
        <v>11.183694800104519</v>
      </c>
      <c r="AK15" s="83">
        <f t="shared" ref="AK15" si="28">IFERROR($H15/Q15,"N/A ")</f>
        <v>10.63415007071595</v>
      </c>
      <c r="AM15" s="83">
        <f t="shared" ref="AM15" si="29">IFERROR($H15/S15,"N/A ")</f>
        <v>15.013471729621221</v>
      </c>
      <c r="AN15" s="83">
        <f t="shared" ref="AN15" si="30">IFERROR($H15/T15,"N/A ")</f>
        <v>13.96023971425258</v>
      </c>
      <c r="AO15" s="83">
        <f t="shared" ref="AO15" si="31">IFERROR($H15/U15,"N/A ")</f>
        <v>13.114275240258914</v>
      </c>
      <c r="AY15" s="63">
        <f>O15/K15</f>
        <v>0.17210350767877433</v>
      </c>
      <c r="AZ15" s="60">
        <v>0.05</v>
      </c>
      <c r="BA15" s="60">
        <v>5.5E-2</v>
      </c>
      <c r="BB15" s="63">
        <f t="shared" ref="BB15" si="32">+L15/K15-1</f>
        <v>3.0399882710845594E-2</v>
      </c>
      <c r="BC15" s="63">
        <f t="shared" ref="BC15" si="33">+M15/L15-1</f>
        <v>4.0622643388682489E-2</v>
      </c>
      <c r="BD15" s="241">
        <f t="shared" si="21"/>
        <v>2.8147601323155573</v>
      </c>
      <c r="BE15" s="143">
        <v>0.5</v>
      </c>
      <c r="BF15" s="71" t="s">
        <v>240</v>
      </c>
      <c r="BG15" s="55">
        <f>10447+5154</f>
        <v>15601</v>
      </c>
      <c r="BH15" t="s">
        <v>675</v>
      </c>
    </row>
    <row r="16" spans="1:60" ht="15.75" customHeight="1" x14ac:dyDescent="0.25">
      <c r="A16" s="78"/>
      <c r="B16" s="8">
        <v>6</v>
      </c>
      <c r="C16" t="s">
        <v>274</v>
      </c>
      <c r="D16" s="143">
        <v>37.01</v>
      </c>
      <c r="E16" s="143">
        <v>47.89</v>
      </c>
      <c r="F16" s="227">
        <f t="shared" si="0"/>
        <v>0.77281269576111922</v>
      </c>
      <c r="G16" s="3">
        <v>3467.8</v>
      </c>
      <c r="H16" s="3">
        <v>3198.7</v>
      </c>
      <c r="I16" s="153">
        <v>18.100000000000001</v>
      </c>
      <c r="J16" s="240">
        <f>D16/2.06</f>
        <v>17.966019417475728</v>
      </c>
      <c r="K16" s="3">
        <v>1119.5</v>
      </c>
      <c r="L16" s="3">
        <v>1198.4000000000001</v>
      </c>
      <c r="M16" s="3">
        <v>1209.3</v>
      </c>
      <c r="O16" s="3">
        <v>260.2</v>
      </c>
      <c r="P16" s="3">
        <v>257.7</v>
      </c>
      <c r="Q16" s="3">
        <v>257.10000000000002</v>
      </c>
      <c r="S16" s="52">
        <f t="shared" ref="S16" si="34">O16-20.801</f>
        <v>239.399</v>
      </c>
      <c r="T16" s="52">
        <f t="shared" ref="T16" si="35">P16-20.801</f>
        <v>236.899</v>
      </c>
      <c r="U16" s="52">
        <f t="shared" ref="U16" si="36">Q16-20.801</f>
        <v>236.29900000000004</v>
      </c>
      <c r="AE16" s="83">
        <f t="shared" ref="AE16:AG17" si="37">IFERROR($H16/K16,"N/A ")</f>
        <v>2.8572577043322909</v>
      </c>
      <c r="AF16" s="83">
        <f t="shared" si="37"/>
        <v>2.6691421895861143</v>
      </c>
      <c r="AG16" s="83">
        <f t="shared" si="37"/>
        <v>2.645083932853717</v>
      </c>
      <c r="AI16" s="83">
        <f t="shared" ref="AI16:AK17" si="38">IFERROR($H16/O16,"N/A ")</f>
        <v>12.293235972328977</v>
      </c>
      <c r="AJ16" s="83">
        <f t="shared" si="38"/>
        <v>12.412495149398525</v>
      </c>
      <c r="AK16" s="83">
        <f t="shared" si="38"/>
        <v>12.441462465966548</v>
      </c>
      <c r="AM16" s="83">
        <f t="shared" ref="AM16:AO17" si="39">IFERROR($H16/S16,"N/A ")</f>
        <v>13.361375778512024</v>
      </c>
      <c r="AN16" s="83">
        <f t="shared" si="39"/>
        <v>13.502378650817436</v>
      </c>
      <c r="AO16" s="83">
        <f t="shared" si="39"/>
        <v>13.536663295231886</v>
      </c>
      <c r="AY16" s="63">
        <f t="shared" si="11"/>
        <v>0.23242518981688254</v>
      </c>
      <c r="AZ16" s="179" t="s">
        <v>221</v>
      </c>
      <c r="BA16" s="60">
        <v>0.39888126999999995</v>
      </c>
      <c r="BB16" s="63">
        <f t="shared" si="13"/>
        <v>7.0477891916034041E-2</v>
      </c>
      <c r="BC16" s="63">
        <f t="shared" si="13"/>
        <v>9.0954606141520067E-3</v>
      </c>
      <c r="BD16" s="241">
        <f t="shared" si="21"/>
        <v>0</v>
      </c>
      <c r="BE16" s="143">
        <v>0.58862199999999998</v>
      </c>
      <c r="BF16" s="179" t="s">
        <v>221</v>
      </c>
      <c r="BG16" s="55">
        <v>0</v>
      </c>
      <c r="BH16" t="s">
        <v>275</v>
      </c>
    </row>
    <row r="17" spans="1:60" ht="15.75" customHeight="1" x14ac:dyDescent="0.25">
      <c r="A17" s="142"/>
      <c r="B17" s="8">
        <v>7</v>
      </c>
      <c r="C17" t="s">
        <v>276</v>
      </c>
      <c r="D17" s="143">
        <f>9.48*G4</f>
        <v>12.794207999999999</v>
      </c>
      <c r="E17" s="143">
        <f>10.2*G4</f>
        <v>13.765919999999998</v>
      </c>
      <c r="F17" s="227">
        <f t="shared" si="0"/>
        <v>0.92941176470588249</v>
      </c>
      <c r="G17" s="3">
        <v>1350</v>
      </c>
      <c r="H17" s="3">
        <v>1180</v>
      </c>
      <c r="I17" s="240">
        <f>D17/(0.28*G4)</f>
        <v>33.857142857142854</v>
      </c>
      <c r="J17" s="240">
        <f>D17/(0.37*G4)</f>
        <v>25.621621621621621</v>
      </c>
      <c r="K17" s="3">
        <f>375.3*G4</f>
        <v>506.50487999999996</v>
      </c>
      <c r="L17" s="3">
        <f>395.6*G4</f>
        <v>533.90175999999997</v>
      </c>
      <c r="M17" s="3">
        <f>436.7*G4</f>
        <v>589.37031999999999</v>
      </c>
      <c r="O17" s="3">
        <v>59.787279999999996</v>
      </c>
      <c r="P17" s="3">
        <v>67.47999999999999</v>
      </c>
      <c r="Q17" s="3">
        <v>86.914240000000007</v>
      </c>
      <c r="S17" s="52">
        <f>O17-6.5-3.1</f>
        <v>50.187279999999994</v>
      </c>
      <c r="T17" s="52">
        <f t="shared" ref="T17:U17" si="40">P17-6.5-3.1</f>
        <v>57.879999999999988</v>
      </c>
      <c r="U17" s="52">
        <f t="shared" si="40"/>
        <v>77.314240000000012</v>
      </c>
      <c r="AE17" s="83">
        <f t="shared" si="37"/>
        <v>2.3296912756299606</v>
      </c>
      <c r="AF17" s="83">
        <f t="shared" si="37"/>
        <v>2.2101444280685647</v>
      </c>
      <c r="AG17" s="83">
        <f t="shared" si="37"/>
        <v>2.0021367889716606</v>
      </c>
      <c r="AI17" s="83">
        <f t="shared" si="38"/>
        <v>19.736639633045694</v>
      </c>
      <c r="AJ17" s="83">
        <f t="shared" si="38"/>
        <v>17.486662714878484</v>
      </c>
      <c r="AK17" s="83">
        <f t="shared" si="38"/>
        <v>13.576601486706895</v>
      </c>
      <c r="AM17" s="83">
        <f t="shared" si="39"/>
        <v>23.511933701129053</v>
      </c>
      <c r="AN17" s="83">
        <f t="shared" si="39"/>
        <v>20.387007601935043</v>
      </c>
      <c r="AO17" s="83">
        <f t="shared" si="39"/>
        <v>15.262388920850801</v>
      </c>
      <c r="AY17" s="63">
        <f t="shared" si="11"/>
        <v>0.11803890221156409</v>
      </c>
      <c r="AZ17" s="60">
        <v>0.152</v>
      </c>
      <c r="BA17" s="60">
        <v>4.969722E-2</v>
      </c>
      <c r="BB17" s="63">
        <f t="shared" si="13"/>
        <v>5.4090061284305824E-2</v>
      </c>
      <c r="BC17" s="63">
        <f t="shared" si="13"/>
        <v>0.10389282103134478</v>
      </c>
      <c r="BD17" s="241">
        <f t="shared" si="21"/>
        <v>0</v>
      </c>
      <c r="BE17" s="143">
        <v>1.1002639999999999</v>
      </c>
      <c r="BF17" s="179" t="s">
        <v>221</v>
      </c>
      <c r="BG17" s="55">
        <v>0</v>
      </c>
      <c r="BH17" t="s">
        <v>277</v>
      </c>
    </row>
    <row r="18" spans="1:60" ht="15.75" customHeight="1" x14ac:dyDescent="0.25">
      <c r="A18" s="75"/>
      <c r="B18" s="55">
        <v>8</v>
      </c>
      <c r="C18" t="s">
        <v>278</v>
      </c>
      <c r="D18" s="143">
        <v>48.32</v>
      </c>
      <c r="E18" s="143">
        <v>66.739999999999995</v>
      </c>
      <c r="F18" s="227">
        <f t="shared" si="0"/>
        <v>0.72400359604435127</v>
      </c>
      <c r="G18" s="3">
        <v>12662.3</v>
      </c>
      <c r="H18" s="3">
        <v>13579.5</v>
      </c>
      <c r="I18" s="240">
        <f>D18/1.5</f>
        <v>32.213333333333331</v>
      </c>
      <c r="J18" s="240">
        <f>D18/1.83</f>
        <v>26.404371584699454</v>
      </c>
      <c r="K18" s="3">
        <v>2125.9</v>
      </c>
      <c r="L18" s="3">
        <v>2443.1</v>
      </c>
      <c r="M18" s="3">
        <v>3227.7</v>
      </c>
      <c r="O18" s="3">
        <v>547.9</v>
      </c>
      <c r="P18" s="3">
        <v>601.5</v>
      </c>
      <c r="Q18" s="3">
        <v>736.1</v>
      </c>
      <c r="S18" s="52">
        <f>O18-7.274</f>
        <v>540.62599999999998</v>
      </c>
      <c r="T18" s="52">
        <f t="shared" ref="T18:U18" si="41">P18-7.274</f>
        <v>594.226</v>
      </c>
      <c r="U18" s="52">
        <f t="shared" si="41"/>
        <v>728.82600000000002</v>
      </c>
      <c r="AE18" s="83">
        <f t="shared" ref="AE18" si="42">IFERROR($H18/K18,"N/A ")</f>
        <v>6.3876475845524245</v>
      </c>
      <c r="AF18" s="83">
        <f t="shared" ref="AF18" si="43">IFERROR($H18/L18,"N/A ")</f>
        <v>5.5583070688878884</v>
      </c>
      <c r="AG18" s="83">
        <f t="shared" ref="AG18" si="44">IFERROR($H18/M18,"N/A ")</f>
        <v>4.2071753880472169</v>
      </c>
      <c r="AI18" s="83">
        <f t="shared" ref="AI18" si="45">IFERROR($H18/O18,"N/A ")</f>
        <v>24.784632232159154</v>
      </c>
      <c r="AJ18" s="83">
        <f t="shared" ref="AJ18" si="46">IFERROR($H18/P18,"N/A ")</f>
        <v>22.576059850374065</v>
      </c>
      <c r="AK18" s="83">
        <f t="shared" ref="AK18" si="47">IFERROR($H18/Q18,"N/A ")</f>
        <v>18.447901100393967</v>
      </c>
      <c r="AM18" s="83">
        <f t="shared" ref="AM18" si="48">IFERROR($H18/S18,"N/A ")</f>
        <v>25.118103827784829</v>
      </c>
      <c r="AN18" s="83">
        <f t="shared" ref="AN18" si="49">IFERROR($H18/T18,"N/A ")</f>
        <v>22.852416420688424</v>
      </c>
      <c r="AO18" s="83">
        <f t="shared" ref="AO18" si="50">IFERROR($H18/U18,"N/A ")</f>
        <v>18.632019165068204</v>
      </c>
      <c r="AY18" s="63">
        <f t="shared" ref="AY18" si="51">O18/K18</f>
        <v>0.25772613951738083</v>
      </c>
      <c r="AZ18" s="60">
        <v>0.2</v>
      </c>
      <c r="BA18" s="60">
        <v>0.23200000000000001</v>
      </c>
      <c r="BB18" s="63">
        <f t="shared" si="13"/>
        <v>0.1492073945152641</v>
      </c>
      <c r="BC18" s="63">
        <f t="shared" si="13"/>
        <v>0.32114935942040845</v>
      </c>
      <c r="BD18" s="241">
        <f t="shared" si="21"/>
        <v>3.1449169556488408</v>
      </c>
      <c r="BE18" s="143">
        <v>1.57426</v>
      </c>
      <c r="BF18" s="179" t="s">
        <v>221</v>
      </c>
      <c r="BG18" s="55">
        <v>1723.1</v>
      </c>
      <c r="BH18" t="s">
        <v>279</v>
      </c>
    </row>
    <row r="19" spans="1:60" ht="15.75" customHeight="1" x14ac:dyDescent="0.25">
      <c r="A19" s="75"/>
      <c r="B19" s="55"/>
      <c r="D19" s="143"/>
      <c r="E19" s="143"/>
      <c r="F19" s="63"/>
      <c r="G19" s="3"/>
      <c r="H19" s="3"/>
      <c r="I19" s="144"/>
      <c r="J19" s="144"/>
      <c r="K19" s="3"/>
      <c r="L19" s="3"/>
      <c r="M19" s="3"/>
      <c r="O19" s="3"/>
      <c r="P19" s="3"/>
      <c r="Q19" s="3"/>
      <c r="S19" s="3"/>
      <c r="T19" s="3"/>
      <c r="U19" s="3"/>
      <c r="AE19" s="83"/>
      <c r="AF19" s="83"/>
      <c r="AG19" s="83"/>
      <c r="AI19" s="83"/>
      <c r="AJ19" s="83"/>
      <c r="AK19" s="83"/>
      <c r="AM19" s="83"/>
      <c r="AN19" s="83"/>
      <c r="AO19" s="83"/>
      <c r="AY19" s="63"/>
      <c r="AZ19" s="55"/>
      <c r="BA19" s="60"/>
      <c r="BB19" s="63"/>
      <c r="BC19" s="63"/>
      <c r="BD19" s="83"/>
      <c r="BE19" s="143"/>
      <c r="BF19" s="71"/>
      <c r="BG19" s="55"/>
    </row>
    <row r="20" spans="1:60" ht="15.75" customHeight="1" x14ac:dyDescent="0.25">
      <c r="A20" s="75"/>
      <c r="B20" s="55"/>
      <c r="C20" t="s">
        <v>651</v>
      </c>
      <c r="D20" s="242"/>
      <c r="E20" s="242"/>
      <c r="F20" s="63"/>
      <c r="G20" s="243"/>
      <c r="H20" s="243"/>
      <c r="I20" s="244"/>
      <c r="J20" s="244"/>
      <c r="K20" s="243"/>
      <c r="L20" s="243"/>
      <c r="M20" s="243"/>
      <c r="O20" s="243"/>
      <c r="P20" s="243"/>
      <c r="Q20" s="243"/>
      <c r="S20" s="243"/>
      <c r="T20" s="243"/>
      <c r="U20" s="243"/>
      <c r="AE20" s="83"/>
      <c r="AF20" s="83"/>
      <c r="AG20" s="83"/>
      <c r="AI20" s="83"/>
      <c r="AJ20" s="83"/>
      <c r="AK20" s="83"/>
      <c r="AM20" s="83"/>
      <c r="AN20" s="83"/>
      <c r="AO20" s="83"/>
      <c r="AY20" s="63">
        <f ca="1">MEDIAN(AY11:AY18)</f>
        <v>0.24507566466713168</v>
      </c>
      <c r="AZ20" s="229"/>
      <c r="BA20" s="245"/>
      <c r="BB20" s="227">
        <f ca="1">MEDIAN(BB11:BB18)</f>
        <v>5.9263405812178926E-2</v>
      </c>
      <c r="BC20" s="63">
        <f ca="1">MEDIAN(BC11:BC18)</f>
        <v>3.8050427885022109E-2</v>
      </c>
      <c r="BD20" s="83"/>
      <c r="BE20" s="242"/>
      <c r="BF20" s="246"/>
      <c r="BG20" s="229"/>
    </row>
    <row r="21" spans="1:60" ht="15.75" customHeight="1" x14ac:dyDescent="0.25">
      <c r="A21" s="75"/>
      <c r="B21" s="55"/>
      <c r="C21" t="s">
        <v>652</v>
      </c>
      <c r="D21" s="242"/>
      <c r="E21" s="242"/>
      <c r="F21" s="63"/>
      <c r="G21" s="3"/>
      <c r="H21" s="3"/>
      <c r="I21" s="244"/>
      <c r="J21" s="244"/>
      <c r="K21" s="243"/>
      <c r="L21" s="243"/>
      <c r="M21" s="243"/>
      <c r="O21" s="243"/>
      <c r="P21" s="243"/>
      <c r="Q21" s="243"/>
      <c r="S21" s="243"/>
      <c r="T21" s="243"/>
      <c r="U21" s="243"/>
      <c r="AE21" s="83"/>
      <c r="AF21" s="83"/>
      <c r="AG21" s="83"/>
      <c r="AI21" s="83"/>
      <c r="AJ21" s="83"/>
      <c r="AK21" s="83"/>
      <c r="AM21" s="83"/>
      <c r="AN21" s="83"/>
      <c r="AO21" s="83"/>
      <c r="AY21" s="63">
        <f ca="1">AVERAGE((AY11:AY18))</f>
        <v>0.23877544309070486</v>
      </c>
      <c r="AZ21" s="229"/>
      <c r="BA21" s="245"/>
      <c r="BB21" s="227">
        <f ca="1">AVERAGE((BB11:BB18))</f>
        <v>7.0856616641179343E-2</v>
      </c>
      <c r="BC21" s="63">
        <f ca="1">AVERAGE((BC11:BC18))</f>
        <v>8.1071262790079035E-2</v>
      </c>
      <c r="BD21" s="83"/>
      <c r="BE21" s="242"/>
      <c r="BF21" s="246"/>
      <c r="BG21" s="229"/>
    </row>
    <row r="22" spans="1:60" ht="15.75" customHeight="1" x14ac:dyDescent="0.25">
      <c r="A22" s="73"/>
      <c r="F22" s="63"/>
    </row>
    <row r="23" spans="1:60" ht="15.75" customHeight="1" x14ac:dyDescent="0.25">
      <c r="A23" s="78"/>
      <c r="C23" t="s">
        <v>2</v>
      </c>
      <c r="K23" s="230">
        <f>'Red Bull Model'!F54</f>
        <v>10553.988219999999</v>
      </c>
      <c r="L23" s="230">
        <f>'Red Bull Model'!G54</f>
        <v>11227</v>
      </c>
      <c r="M23" s="230">
        <f>'Red Bull Model'!H54</f>
        <v>12196</v>
      </c>
      <c r="O23" s="230">
        <f>'Red Bull Model'!F60</f>
        <v>3134.0491827199985</v>
      </c>
      <c r="P23" s="230">
        <f>'Red Bull Model'!G60</f>
        <v>3375.5418126187315</v>
      </c>
      <c r="Q23" s="230">
        <f>'Red Bull Model'!H60</f>
        <v>3715.6681138948998</v>
      </c>
      <c r="S23" s="230">
        <f>'Red Bull Model'!F63</f>
        <v>2734.0491827199985</v>
      </c>
      <c r="T23" s="230">
        <f>'Red Bull Model'!G63</f>
        <v>2933.3378126187313</v>
      </c>
      <c r="U23" s="230">
        <f>'Red Bull Model'!H63</f>
        <v>3218.8546738948999</v>
      </c>
      <c r="AY23" s="234">
        <f>'Red Bull Model'!F60/'Red Bull Model'!F54</f>
        <v>0.29695401561856194</v>
      </c>
      <c r="AZ23" s="63"/>
      <c r="BB23" s="234">
        <f>'Red Bull Model'!G12</f>
        <v>6.3768479362581676E-2</v>
      </c>
      <c r="BC23" s="234">
        <f>'Red Bull Model'!H12</f>
        <v>8.630978890175478E-2</v>
      </c>
    </row>
    <row r="24" spans="1:60" ht="15.75" customHeight="1" x14ac:dyDescent="0.25">
      <c r="A24" s="73"/>
    </row>
    <row r="25" spans="1:60" ht="15.75" customHeight="1" thickBot="1" x14ac:dyDescent="0.3">
      <c r="A25" s="118"/>
      <c r="B25" s="118"/>
      <c r="C25" s="118"/>
      <c r="D25" s="69"/>
      <c r="E25" s="69"/>
      <c r="F25" s="69"/>
      <c r="G25" s="69"/>
      <c r="H25" s="69"/>
      <c r="I25" s="224" t="s">
        <v>248</v>
      </c>
      <c r="J25" s="225"/>
      <c r="K25" s="69"/>
      <c r="L25" s="69"/>
      <c r="M25" s="69"/>
      <c r="N25" s="69"/>
      <c r="O25" s="69"/>
      <c r="P25" s="69"/>
      <c r="Q25" s="69"/>
      <c r="R25" s="69"/>
      <c r="S25" s="69"/>
      <c r="T25" s="69"/>
      <c r="U25" s="69"/>
      <c r="V25" s="69"/>
      <c r="W25" s="69"/>
      <c r="X25" s="69"/>
      <c r="Y25" s="69"/>
      <c r="Z25" s="69"/>
      <c r="AA25" s="69"/>
      <c r="AB25" s="69"/>
      <c r="AC25" s="69"/>
      <c r="AD25" s="69"/>
      <c r="AE25" s="119"/>
      <c r="AF25" s="119" t="s">
        <v>167</v>
      </c>
      <c r="AG25" s="119"/>
      <c r="AH25" s="77"/>
      <c r="AI25" s="119"/>
      <c r="AJ25" s="119" t="s">
        <v>134</v>
      </c>
      <c r="AK25" s="119"/>
      <c r="AL25" s="69"/>
      <c r="AM25" s="119"/>
      <c r="AN25" s="119" t="s">
        <v>169</v>
      </c>
      <c r="AO25" s="119"/>
      <c r="AP25" s="69"/>
      <c r="AQ25" s="119"/>
      <c r="AR25" s="119" t="s">
        <v>230</v>
      </c>
      <c r="AS25" s="119"/>
      <c r="AT25" s="69"/>
      <c r="AU25" s="119"/>
      <c r="AV25" s="119" t="s">
        <v>231</v>
      </c>
      <c r="AW25" s="119"/>
      <c r="AY25" s="69" t="s">
        <v>280</v>
      </c>
      <c r="AZ25" s="69" t="s">
        <v>251</v>
      </c>
    </row>
    <row r="26" spans="1:60" ht="15.75" customHeight="1" x14ac:dyDescent="0.25">
      <c r="A26" s="118"/>
      <c r="B26" s="118"/>
      <c r="C26" s="69" t="s">
        <v>258</v>
      </c>
      <c r="D26" s="69"/>
      <c r="E26" s="69"/>
      <c r="F26" s="69"/>
      <c r="G26" s="69"/>
      <c r="H26" s="69"/>
      <c r="I26" s="69" t="str">
        <f>+AN9</f>
        <v>2026e</v>
      </c>
      <c r="J26" s="69" t="str">
        <f>+AO9</f>
        <v>2027e</v>
      </c>
      <c r="K26" s="69"/>
      <c r="L26" s="69"/>
      <c r="M26" s="69"/>
      <c r="N26" s="69"/>
      <c r="O26" s="69"/>
      <c r="P26" s="69"/>
      <c r="Q26" s="69"/>
      <c r="R26" s="69"/>
      <c r="S26" s="69"/>
      <c r="T26" s="69"/>
      <c r="U26" s="69"/>
      <c r="V26" s="69"/>
      <c r="W26" s="69"/>
      <c r="X26" s="69"/>
      <c r="Y26" s="69"/>
      <c r="Z26" s="69"/>
      <c r="AA26" s="69"/>
      <c r="AB26" s="69"/>
      <c r="AC26" s="69"/>
      <c r="AD26" s="69"/>
      <c r="AE26" s="69" t="str">
        <f>AE9</f>
        <v>LTM</v>
      </c>
      <c r="AF26" s="69" t="str">
        <f>AF9</f>
        <v>2026e</v>
      </c>
      <c r="AG26" s="69" t="str">
        <f>AG9</f>
        <v>2027e</v>
      </c>
      <c r="AH26" s="69"/>
      <c r="AI26" s="69" t="str">
        <f>AI9</f>
        <v>LTM</v>
      </c>
      <c r="AJ26" s="69" t="str">
        <f>AJ9</f>
        <v>2026e</v>
      </c>
      <c r="AK26" s="69" t="str">
        <f>AK9</f>
        <v>2027e</v>
      </c>
      <c r="AL26" s="69"/>
      <c r="AM26" s="69" t="str">
        <f>AM9</f>
        <v>LTM</v>
      </c>
      <c r="AN26" s="69" t="str">
        <f>AN9</f>
        <v>2026e</v>
      </c>
      <c r="AO26" s="69" t="str">
        <f>AO9</f>
        <v>2027e</v>
      </c>
      <c r="AP26" s="69"/>
      <c r="AQ26" s="69" t="str">
        <f>AQ9</f>
        <v>LTM</v>
      </c>
      <c r="AR26" s="69" t="str">
        <f>AR9</f>
        <v>2026e</v>
      </c>
      <c r="AS26" s="69" t="str">
        <f>AS9</f>
        <v>2027e</v>
      </c>
      <c r="AT26" s="69"/>
      <c r="AU26" s="69" t="str">
        <f>AU9</f>
        <v>LTM</v>
      </c>
      <c r="AV26" s="69" t="str">
        <f>AV9</f>
        <v>2026e</v>
      </c>
      <c r="AW26" s="69" t="str">
        <f>AW9</f>
        <v>2027e</v>
      </c>
      <c r="AY26" s="69" t="s">
        <v>75</v>
      </c>
      <c r="AZ26" s="69" t="s">
        <v>265</v>
      </c>
    </row>
    <row r="27" spans="1:60" ht="15.75" customHeight="1" x14ac:dyDescent="0.25">
      <c r="A27" s="73" t="s">
        <v>281</v>
      </c>
    </row>
    <row r="28" spans="1:60" ht="15.75" customHeight="1" x14ac:dyDescent="0.25">
      <c r="A28" s="73"/>
      <c r="B28">
        <f>B11</f>
        <v>1</v>
      </c>
      <c r="C28" t="str">
        <f ca="1">OFFSET(C$10,$B28,0)</f>
        <v>Coca-Cola Company</v>
      </c>
      <c r="I28" s="64">
        <f ca="1">OFFSET(I$10,$B28,0)</f>
        <v>24.71826625386997</v>
      </c>
      <c r="J28" s="64">
        <f ca="1">OFFSET(J$10,$B28,0)</f>
        <v>23.075144508670522</v>
      </c>
      <c r="AE28" s="64">
        <f ca="1">OFFSET(AE$10,$B28,0)</f>
        <v>7.4101944336265646</v>
      </c>
      <c r="AF28" s="64">
        <f t="shared" ref="AF28:AG28" ca="1" si="52">OFFSET(AF$10,$B28,0)</f>
        <v>7.267600548290174</v>
      </c>
      <c r="AG28" s="83">
        <f t="shared" ca="1" si="52"/>
        <v>7.1480363126914961</v>
      </c>
      <c r="AI28" s="83">
        <f ca="1">OFFSET(AI$10,$B28,0)</f>
        <v>22.171995571746248</v>
      </c>
      <c r="AJ28" s="83">
        <f t="shared" ref="AJ28:AO30" ca="1" si="53">OFFSET(AJ$10,$B28,0)</f>
        <v>20.619052201667358</v>
      </c>
      <c r="AK28" s="83">
        <f t="shared" ca="1" si="53"/>
        <v>19.512755511363622</v>
      </c>
      <c r="AM28" s="64">
        <f t="shared" ca="1" si="53"/>
        <v>23.722691325448608</v>
      </c>
      <c r="AN28" s="64">
        <f t="shared" ca="1" si="53"/>
        <v>22.021465971814404</v>
      </c>
      <c r="AO28" s="64">
        <f t="shared" ca="1" si="53"/>
        <v>20.764149280202425</v>
      </c>
      <c r="AQ28" s="80">
        <f ca="1">AQ11</f>
        <v>21.752417023398976</v>
      </c>
      <c r="AR28" s="80">
        <f ca="1">AR11</f>
        <v>20.253665050533158</v>
      </c>
      <c r="AS28" s="80">
        <f ca="1">AS11</f>
        <v>19.183260718574854</v>
      </c>
      <c r="AU28" s="80">
        <f ca="1">AU11</f>
        <v>23.633474685844252</v>
      </c>
      <c r="AV28" s="80">
        <f ca="1">AV11</f>
        <v>21.94869241898224</v>
      </c>
      <c r="AW28" s="80">
        <f ca="1">AW11</f>
        <v>20.702460698110716</v>
      </c>
      <c r="AY28" s="63">
        <f t="shared" ref="AY28:AY30" ca="1" si="54">OFFSET(AY$10,$B28,0)</f>
        <v>0.33421414006907746</v>
      </c>
      <c r="AZ28" s="63">
        <f ca="1">OFFSET(AZ$10,$B28,0)</f>
        <v>6.5000000000000002E-2</v>
      </c>
    </row>
    <row r="29" spans="1:60" ht="15.75" customHeight="1" x14ac:dyDescent="0.25">
      <c r="A29" s="73"/>
      <c r="B29">
        <v>3</v>
      </c>
      <c r="C29" t="str">
        <f ca="1">OFFSET(C$10,$B29,0)</f>
        <v>Monster Beverage</v>
      </c>
      <c r="I29" s="64">
        <f t="shared" ref="I29:J30" ca="1" si="55">OFFSET(I$10,$B29,0)</f>
        <v>37.061946902654874</v>
      </c>
      <c r="J29" s="64">
        <f t="shared" ca="1" si="55"/>
        <v>32.847058823529416</v>
      </c>
      <c r="AE29" s="64">
        <f ca="1">OFFSET(AE$10,$B29,0)</f>
        <v>10.041733770317496</v>
      </c>
      <c r="AF29" s="64">
        <f t="shared" ref="AF29:AG30" ca="1" si="56">OFFSET(AF$10,$B29,0)</f>
        <v>8.891644254089643</v>
      </c>
      <c r="AG29" s="83">
        <f t="shared" ca="1" si="56"/>
        <v>8.1557446975599817</v>
      </c>
      <c r="AI29" s="83">
        <f ca="1">OFFSET(AI$10,$B29,0)</f>
        <v>31.369686406413845</v>
      </c>
      <c r="AJ29" s="83">
        <f t="shared" ca="1" si="53"/>
        <v>27.477578615302274</v>
      </c>
      <c r="AK29" s="83">
        <f t="shared" ca="1" si="53"/>
        <v>24.927213219671316</v>
      </c>
      <c r="AM29" s="64">
        <f t="shared" ca="1" si="53"/>
        <v>32.683635698563144</v>
      </c>
      <c r="AN29" s="64">
        <f t="shared" ca="1" si="53"/>
        <v>28.253069439130744</v>
      </c>
      <c r="AO29" s="64">
        <f t="shared" ca="1" si="53"/>
        <v>25.56376105469867</v>
      </c>
      <c r="AQ29" s="80"/>
      <c r="AR29" s="80"/>
      <c r="AS29" s="80"/>
      <c r="AU29" s="80"/>
      <c r="AV29" s="80"/>
      <c r="AW29" s="80"/>
      <c r="AY29" s="63">
        <f t="shared" ca="1" si="54"/>
        <v>0.32010947257236094</v>
      </c>
      <c r="AZ29" s="63">
        <f ca="1">OFFSET(AZ$10,$B29,0)</f>
        <v>0.125</v>
      </c>
    </row>
    <row r="30" spans="1:60" ht="15.75" customHeight="1" x14ac:dyDescent="0.25">
      <c r="A30" s="73"/>
      <c r="B30">
        <v>4</v>
      </c>
      <c r="C30" t="str">
        <f ca="1">OFFSET(C$10,$B30,0)</f>
        <v>PepsiCo</v>
      </c>
      <c r="I30" s="64">
        <f t="shared" ca="1" si="55"/>
        <v>19.100000000000001</v>
      </c>
      <c r="J30" s="64">
        <f t="shared" ca="1" si="55"/>
        <v>17.928260869565218</v>
      </c>
      <c r="AE30" s="64">
        <f ca="1">OFFSET(AE$10,$B30,0)</f>
        <v>2.7977162629757784</v>
      </c>
      <c r="AF30" s="64">
        <f t="shared" ca="1" si="56"/>
        <v>2.6663314839091985</v>
      </c>
      <c r="AG30" s="83">
        <f t="shared" ca="1" si="56"/>
        <v>2.5852229126412265</v>
      </c>
      <c r="AI30" s="83">
        <f ca="1">OFFSET(AI$10,$B30,0)</f>
        <v>14.310052823612699</v>
      </c>
      <c r="AJ30" s="83">
        <f t="shared" ca="1" si="53"/>
        <v>13.479399423430079</v>
      </c>
      <c r="AK30" s="83">
        <f t="shared" ca="1" si="53"/>
        <v>12.808570063756362</v>
      </c>
      <c r="AM30" s="64">
        <f t="shared" ca="1" si="53"/>
        <v>17.621747585836911</v>
      </c>
      <c r="AN30" s="64">
        <f t="shared" ca="1" si="53"/>
        <v>16.378836420753448</v>
      </c>
      <c r="AO30" s="64">
        <f t="shared" ca="1" si="53"/>
        <v>15.398866659634566</v>
      </c>
      <c r="AQ30" s="80"/>
      <c r="AR30" s="80"/>
      <c r="AS30" s="80"/>
      <c r="AU30" s="80"/>
      <c r="AV30" s="80"/>
      <c r="AW30" s="80"/>
      <c r="AY30" s="63">
        <f t="shared" ca="1" si="54"/>
        <v>0.19550705350013309</v>
      </c>
      <c r="AZ30" s="63">
        <f ca="1">OFFSET(AZ$10,$B30,0)</f>
        <v>7.8E-2</v>
      </c>
    </row>
    <row r="31" spans="1:60" ht="15.75" customHeight="1" x14ac:dyDescent="0.25">
      <c r="A31" s="73"/>
      <c r="I31" s="64"/>
      <c r="J31" s="64"/>
      <c r="AE31" s="64"/>
      <c r="AF31" s="64"/>
      <c r="AG31" s="83"/>
      <c r="AI31" s="83"/>
      <c r="AJ31" s="83"/>
      <c r="AK31" s="83"/>
      <c r="AM31" s="64"/>
      <c r="AN31" s="64"/>
      <c r="AO31" s="64"/>
      <c r="AQ31" s="80"/>
      <c r="AR31" s="80"/>
      <c r="AS31" s="80"/>
      <c r="AU31" s="80"/>
      <c r="AV31" s="80"/>
      <c r="AW31" s="80"/>
      <c r="AY31" s="63"/>
      <c r="AZ31" s="63"/>
    </row>
    <row r="32" spans="1:60" ht="15.75" customHeight="1" x14ac:dyDescent="0.25">
      <c r="A32" s="73"/>
      <c r="C32" t="s">
        <v>282</v>
      </c>
      <c r="I32" s="64"/>
      <c r="J32" s="64">
        <f ca="1">MEDIAN(J28:J30)</f>
        <v>23.075144508670522</v>
      </c>
      <c r="AI32" s="64"/>
      <c r="AJ32" s="64"/>
      <c r="AK32" s="64">
        <f ca="1">MEDIAN(AK28:AK30)</f>
        <v>19.512755511363622</v>
      </c>
      <c r="AM32" s="64"/>
      <c r="AN32" s="64"/>
      <c r="AO32" s="64"/>
    </row>
    <row r="33" spans="1:60" ht="15.75" customHeight="1" x14ac:dyDescent="0.25">
      <c r="A33" s="73"/>
    </row>
    <row r="34" spans="1:60" ht="15.75" customHeight="1" x14ac:dyDescent="0.25">
      <c r="A34" s="73"/>
      <c r="C34" t="s">
        <v>679</v>
      </c>
      <c r="J34">
        <f ca="1">'Red Bull Model'!H71</f>
        <v>2412.7158484281881</v>
      </c>
    </row>
    <row r="35" spans="1:60" ht="15.75" customHeight="1" x14ac:dyDescent="0.25">
      <c r="A35" s="73"/>
      <c r="C35" t="s">
        <v>283</v>
      </c>
      <c r="J35">
        <f ca="1">J34*J32</f>
        <v>55673.766860840049</v>
      </c>
    </row>
    <row r="36" spans="1:60" ht="15.75" customHeight="1" x14ac:dyDescent="0.25">
      <c r="A36" s="73"/>
      <c r="C36" s="43"/>
      <c r="F36" s="43"/>
      <c r="K36" s="43"/>
      <c r="Q36" s="43"/>
      <c r="R36" s="43"/>
      <c r="S36" s="43"/>
      <c r="T36" s="43"/>
      <c r="U36" s="43"/>
      <c r="V36" s="43"/>
      <c r="Z36" s="43"/>
      <c r="AA36" s="43"/>
      <c r="AB36" s="43"/>
      <c r="AC36" s="43"/>
      <c r="AD36" s="43"/>
      <c r="AH36" s="43"/>
      <c r="AI36" s="43"/>
      <c r="AJ36" s="43"/>
      <c r="AK36" s="43"/>
      <c r="AL36" s="43"/>
      <c r="AP36" s="43"/>
      <c r="AQ36" s="43"/>
      <c r="AR36" s="43"/>
      <c r="AS36" s="43"/>
      <c r="AT36" s="43"/>
      <c r="AX36" s="43"/>
      <c r="AY36" s="43"/>
      <c r="AZ36" s="43"/>
      <c r="BB36" s="43"/>
      <c r="BC36" s="43"/>
      <c r="BE36" s="43"/>
      <c r="BF36" s="43"/>
      <c r="BG36" s="43"/>
      <c r="BH36" s="43"/>
    </row>
    <row r="37" spans="1:60" ht="15.75" customHeight="1" x14ac:dyDescent="0.25">
      <c r="A37" s="73"/>
      <c r="C37" t="s">
        <v>680</v>
      </c>
      <c r="F37" s="43"/>
      <c r="K37" s="43"/>
      <c r="Q37" s="43"/>
      <c r="R37" s="43"/>
      <c r="S37" s="43"/>
      <c r="T37" s="43"/>
      <c r="U37" s="43"/>
      <c r="V37" s="43"/>
      <c r="Z37" s="43"/>
      <c r="AA37" s="43"/>
      <c r="AB37" s="43"/>
      <c r="AC37" s="43"/>
      <c r="AE37" s="43"/>
      <c r="AH37" s="43"/>
      <c r="AI37" s="43"/>
      <c r="AK37">
        <f>'Red Bull Model'!J60</f>
        <v>4664.2097138197514</v>
      </c>
      <c r="AP37" s="43"/>
      <c r="AQ37" s="43"/>
      <c r="AR37" s="43"/>
      <c r="AS37" s="43"/>
      <c r="AT37" s="43"/>
      <c r="AX37" s="43"/>
      <c r="AY37" s="43"/>
      <c r="AZ37" s="43"/>
      <c r="BB37" s="43"/>
      <c r="BC37" s="43"/>
      <c r="BE37" s="43"/>
      <c r="BF37" s="43"/>
      <c r="BG37" s="43"/>
      <c r="BH37" s="43"/>
    </row>
    <row r="38" spans="1:60" ht="15.75" customHeight="1" x14ac:dyDescent="0.25">
      <c r="A38" s="73"/>
      <c r="C38" t="s">
        <v>284</v>
      </c>
      <c r="F38" s="43"/>
      <c r="K38" s="43"/>
      <c r="Q38" s="43"/>
      <c r="R38" s="43"/>
      <c r="S38" s="43"/>
      <c r="T38" s="43"/>
      <c r="U38" s="43"/>
      <c r="V38" s="43"/>
      <c r="Z38" s="43"/>
      <c r="AA38" s="43"/>
      <c r="AB38" s="43"/>
      <c r="AC38" s="43"/>
      <c r="AD38" s="43"/>
      <c r="AH38" s="43"/>
      <c r="AI38" s="43"/>
      <c r="AK38">
        <f ca="1">AK37*AK32</f>
        <v>91011.583799492102</v>
      </c>
      <c r="AP38" s="43"/>
      <c r="AQ38" s="43"/>
      <c r="AR38" s="43"/>
      <c r="AS38" s="43"/>
      <c r="AT38" s="43"/>
      <c r="AX38" s="43"/>
      <c r="AY38" s="43"/>
      <c r="AZ38" s="43"/>
      <c r="BB38" s="43"/>
      <c r="BC38" s="43"/>
      <c r="BE38" s="43"/>
      <c r="BF38" s="43"/>
      <c r="BG38" s="43"/>
      <c r="BH38" s="43"/>
    </row>
    <row r="39" spans="1:60" ht="15.75" customHeight="1" x14ac:dyDescent="0.25">
      <c r="A39" s="73"/>
      <c r="C39" t="s">
        <v>285</v>
      </c>
      <c r="D39" s="43"/>
      <c r="F39" s="43"/>
      <c r="K39" s="43"/>
      <c r="Q39" s="43"/>
      <c r="R39" s="43"/>
      <c r="S39" s="43"/>
      <c r="T39" s="43"/>
      <c r="U39" s="43"/>
      <c r="V39" s="43"/>
      <c r="Z39" s="43"/>
      <c r="AA39" s="43"/>
      <c r="AB39" s="43"/>
      <c r="AC39" s="43"/>
      <c r="AD39" s="43"/>
      <c r="AH39" s="43"/>
      <c r="AI39" s="43"/>
      <c r="AK39">
        <f ca="1">'Red Bull Model'!J136</f>
        <v>-1766.0416595421543</v>
      </c>
      <c r="AP39" s="43"/>
      <c r="AQ39" s="43"/>
      <c r="AR39" s="43"/>
      <c r="AS39" s="43"/>
      <c r="AT39" s="43"/>
      <c r="AX39" s="43"/>
      <c r="AY39" s="43"/>
      <c r="AZ39" s="43"/>
      <c r="BB39" s="43"/>
      <c r="BC39" s="43"/>
      <c r="BE39" s="43"/>
      <c r="BF39" s="43"/>
      <c r="BG39" s="43"/>
      <c r="BH39" s="43"/>
    </row>
    <row r="40" spans="1:60" ht="15.75" customHeight="1" x14ac:dyDescent="0.25">
      <c r="A40" s="73"/>
      <c r="C40" t="s">
        <v>283</v>
      </c>
      <c r="D40" s="43"/>
      <c r="F40" s="43"/>
      <c r="K40" s="43"/>
      <c r="Q40" s="43"/>
      <c r="R40" s="43"/>
      <c r="S40" s="43"/>
      <c r="T40" s="43"/>
      <c r="U40" s="43"/>
      <c r="V40" s="43"/>
      <c r="Z40" s="43"/>
      <c r="AA40" s="43"/>
      <c r="AB40" s="43"/>
      <c r="AC40" s="43"/>
      <c r="AD40" s="43"/>
      <c r="AH40" s="43"/>
      <c r="AI40" s="43"/>
      <c r="AK40">
        <f ca="1">AK38-AK39</f>
        <v>92777.625459034258</v>
      </c>
      <c r="AP40" s="43"/>
      <c r="AQ40" s="43"/>
      <c r="AR40" s="43"/>
      <c r="AS40" s="43"/>
      <c r="AT40" s="43"/>
      <c r="AX40" s="43"/>
      <c r="AY40" s="43"/>
      <c r="AZ40" s="43"/>
      <c r="BB40" s="43"/>
      <c r="BC40" s="43"/>
      <c r="BE40" s="43"/>
      <c r="BF40" s="43"/>
      <c r="BG40" s="43"/>
      <c r="BH40" s="43"/>
    </row>
    <row r="41" spans="1:60" ht="15.75" customHeight="1" x14ac:dyDescent="0.25">
      <c r="A41" s="73"/>
      <c r="C41" s="43"/>
      <c r="D41" s="43"/>
      <c r="K41" s="43"/>
      <c r="L41" s="43"/>
      <c r="M41" s="43"/>
      <c r="N41" s="43"/>
      <c r="O41" s="43"/>
      <c r="P41" s="43"/>
      <c r="Q41" s="43"/>
      <c r="R41" s="43"/>
      <c r="S41" s="43"/>
      <c r="T41" s="43"/>
      <c r="U41" s="43"/>
      <c r="V41" s="43"/>
      <c r="Z41" s="43"/>
      <c r="AA41" s="43"/>
      <c r="AB41" s="43"/>
      <c r="AC41" s="43"/>
      <c r="AD41" s="43"/>
      <c r="AH41" s="43"/>
      <c r="AI41" s="43"/>
      <c r="AJ41" s="43"/>
      <c r="AK41" s="43"/>
      <c r="AL41" s="43"/>
      <c r="AP41" s="43"/>
      <c r="AQ41" s="43"/>
      <c r="AR41" s="43"/>
      <c r="AS41" s="43"/>
      <c r="AT41" s="43"/>
      <c r="AX41" s="43"/>
      <c r="AY41" s="43"/>
      <c r="AZ41" s="43"/>
      <c r="BA41" s="43"/>
      <c r="BF41" s="43"/>
      <c r="BG41" s="43"/>
      <c r="BH41" s="43"/>
    </row>
    <row r="42" spans="1:60" ht="15.75" customHeight="1" x14ac:dyDescent="0.25">
      <c r="A42" s="73" t="s">
        <v>38</v>
      </c>
      <c r="AK42" s="43"/>
    </row>
    <row r="43" spans="1:60" ht="15.75" customHeight="1" x14ac:dyDescent="0.25">
      <c r="A43" s="73"/>
      <c r="AK43" s="43"/>
    </row>
    <row r="44" spans="1:60" ht="15.75" customHeight="1" x14ac:dyDescent="0.25">
      <c r="A44" s="73"/>
      <c r="AK44" s="43"/>
    </row>
    <row r="45" spans="1:60" ht="15.75" customHeight="1" x14ac:dyDescent="0.25">
      <c r="A45" s="73"/>
      <c r="E45" s="141"/>
      <c r="AK45" s="43"/>
    </row>
    <row r="46" spans="1:60" ht="15.75" customHeight="1" x14ac:dyDescent="0.25">
      <c r="A46" s="73"/>
      <c r="E46" s="141"/>
      <c r="AK46" s="43"/>
    </row>
    <row r="47" spans="1:60" ht="15.75" customHeight="1" x14ac:dyDescent="0.25">
      <c r="A47" s="73"/>
      <c r="E47" s="141"/>
    </row>
    <row r="48" spans="1:60" ht="15.75" customHeight="1" x14ac:dyDescent="0.25">
      <c r="A48" s="73"/>
      <c r="E48" s="141"/>
    </row>
    <row r="49" spans="1:5" ht="15.75" customHeight="1" x14ac:dyDescent="0.25">
      <c r="A49" s="73"/>
      <c r="E49" s="141"/>
    </row>
    <row r="50" spans="1:5" ht="15.75" customHeight="1" x14ac:dyDescent="0.25">
      <c r="A50" s="73"/>
      <c r="E50" s="141"/>
    </row>
    <row r="51" spans="1:5" ht="15.75" customHeight="1" x14ac:dyDescent="0.25">
      <c r="A51" s="73"/>
      <c r="E51" s="141"/>
    </row>
    <row r="52" spans="1:5" ht="15.75" customHeight="1" x14ac:dyDescent="0.25">
      <c r="A52" s="73"/>
      <c r="E52" s="141"/>
    </row>
    <row r="53" spans="1:5" ht="15.75" customHeight="1" x14ac:dyDescent="0.25">
      <c r="A53" s="73"/>
      <c r="E53" s="141"/>
    </row>
    <row r="54" spans="1:5" ht="15.75" customHeight="1" x14ac:dyDescent="0.25">
      <c r="A54" s="73"/>
      <c r="E54" s="141"/>
    </row>
    <row r="55" spans="1:5" ht="15.75" customHeight="1" x14ac:dyDescent="0.25">
      <c r="A55" s="73"/>
    </row>
    <row r="56" spans="1:5" ht="15" customHeight="1" x14ac:dyDescent="0.25">
      <c r="A56" s="73"/>
    </row>
    <row r="57" spans="1:5" ht="15" customHeight="1" x14ac:dyDescent="0.25">
      <c r="A57" s="73"/>
    </row>
    <row r="58" spans="1:5" ht="15" customHeight="1" x14ac:dyDescent="0.25">
      <c r="A58" s="73"/>
    </row>
    <row r="61" spans="1:5" ht="15.75" customHeight="1" x14ac:dyDescent="0.25">
      <c r="A61" s="10"/>
    </row>
    <row r="62" spans="1:5" ht="15.75" customHeight="1" x14ac:dyDescent="0.25">
      <c r="A62" s="10"/>
    </row>
    <row r="63" spans="1:5" ht="15.75" customHeight="1" x14ac:dyDescent="0.25">
      <c r="A63" s="10"/>
    </row>
    <row r="64" spans="1:5" ht="15.75" customHeight="1" x14ac:dyDescent="0.25">
      <c r="A64" s="10"/>
    </row>
    <row r="65" spans="1:60" ht="15.75" customHeight="1" x14ac:dyDescent="0.25">
      <c r="A65" s="10"/>
    </row>
    <row r="66" spans="1:60" ht="15.75" customHeight="1" x14ac:dyDescent="0.25">
      <c r="A66" s="10"/>
    </row>
    <row r="67" spans="1:60" ht="15.75" customHeight="1" x14ac:dyDescent="0.25">
      <c r="A67" s="10"/>
    </row>
    <row r="68" spans="1:60" ht="15.75" customHeight="1" x14ac:dyDescent="0.25">
      <c r="A68" s="10"/>
    </row>
    <row r="69" spans="1:60" ht="15.75" customHeight="1" x14ac:dyDescent="0.25">
      <c r="A69" s="10" t="s">
        <v>286</v>
      </c>
    </row>
    <row r="70" spans="1:60" ht="15.75" customHeight="1" x14ac:dyDescent="0.25">
      <c r="A70" s="10"/>
      <c r="C70" t="s">
        <v>287</v>
      </c>
      <c r="D70" t="s">
        <v>288</v>
      </c>
      <c r="E70" t="s">
        <v>289</v>
      </c>
      <c r="G70" t="s">
        <v>290</v>
      </c>
      <c r="H70" t="s">
        <v>291</v>
      </c>
      <c r="I70" t="s">
        <v>292</v>
      </c>
      <c r="J70" t="s">
        <v>293</v>
      </c>
      <c r="K70" t="s">
        <v>294</v>
      </c>
      <c r="L70" t="s">
        <v>295</v>
      </c>
      <c r="M70" t="s">
        <v>296</v>
      </c>
      <c r="O70" t="s">
        <v>297</v>
      </c>
      <c r="P70" t="s">
        <v>298</v>
      </c>
      <c r="Q70" t="s">
        <v>299</v>
      </c>
      <c r="S70" t="s">
        <v>300</v>
      </c>
      <c r="T70" t="s">
        <v>301</v>
      </c>
      <c r="U70" t="s">
        <v>302</v>
      </c>
      <c r="W70" t="s">
        <v>303</v>
      </c>
      <c r="X70" t="s">
        <v>304</v>
      </c>
      <c r="Y70" t="s">
        <v>305</v>
      </c>
      <c r="AA70" t="s">
        <v>306</v>
      </c>
      <c r="AB70" t="s">
        <v>307</v>
      </c>
      <c r="AC70" t="s">
        <v>308</v>
      </c>
      <c r="AQ70" t="s">
        <v>309</v>
      </c>
      <c r="AR70" t="s">
        <v>309</v>
      </c>
      <c r="AS70" t="s">
        <v>309</v>
      </c>
      <c r="AU70" t="s">
        <v>309</v>
      </c>
      <c r="AV70" t="s">
        <v>309</v>
      </c>
      <c r="AW70" t="s">
        <v>309</v>
      </c>
      <c r="AZ70" t="s">
        <v>310</v>
      </c>
      <c r="BA70" t="s">
        <v>266</v>
      </c>
      <c r="BD70" t="s">
        <v>311</v>
      </c>
      <c r="BE70" t="s">
        <v>312</v>
      </c>
      <c r="BF70" t="s">
        <v>313</v>
      </c>
      <c r="BG70" t="s">
        <v>311</v>
      </c>
      <c r="BH70" t="s">
        <v>138</v>
      </c>
    </row>
    <row r="71" spans="1:60" ht="15.75" customHeight="1" x14ac:dyDescent="0.25">
      <c r="A71" s="10"/>
      <c r="D71" t="s">
        <v>314</v>
      </c>
      <c r="E71" t="s">
        <v>314</v>
      </c>
      <c r="G71" t="s">
        <v>292</v>
      </c>
      <c r="H71" t="s">
        <v>293</v>
      </c>
      <c r="BD71" t="s">
        <v>297</v>
      </c>
    </row>
  </sheetData>
  <mergeCells count="2">
    <mergeCell ref="I25:J25"/>
    <mergeCell ref="I8:J8"/>
  </mergeCells>
  <printOptions gridLines="1"/>
  <pageMargins left="0.23622047244094491" right="0.23622047244094491" top="0.35433070866141736" bottom="0.35433070866141736" header="0.31496062992125984" footer="0.31496062992125984"/>
  <pageSetup paperSize="9" scale="48" fitToHeight="0" orientation="landscape"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4"/>
    <pageSetUpPr fitToPage="1"/>
  </sheetPr>
  <dimension ref="A1:Z83"/>
  <sheetViews>
    <sheetView zoomScaleNormal="100" zoomScaleSheetLayoutView="85" workbookViewId="0"/>
  </sheetViews>
  <sheetFormatPr defaultColWidth="12.5703125" defaultRowHeight="15" customHeight="1" x14ac:dyDescent="0.25"/>
  <cols>
    <col min="1" max="1" width="1.5703125" customWidth="1"/>
    <col min="2" max="2" width="50.5703125" customWidth="1"/>
    <col min="3" max="3" width="20.5703125" customWidth="1"/>
    <col min="4" max="4" width="21.85546875" customWidth="1"/>
    <col min="5" max="5" width="15.5703125" customWidth="1"/>
    <col min="6" max="12" width="11" customWidth="1"/>
    <col min="13" max="13" width="20.5703125" bestFit="1" customWidth="1"/>
    <col min="14" max="16" width="11" customWidth="1"/>
    <col min="17" max="26" width="12.5703125" customWidth="1"/>
  </cols>
  <sheetData>
    <row r="1" spans="1:26" ht="30" customHeight="1" x14ac:dyDescent="0.45">
      <c r="A1" s="180" t="s">
        <v>11</v>
      </c>
      <c r="B1" s="72"/>
      <c r="C1" s="72"/>
      <c r="D1" s="72"/>
      <c r="E1" s="72"/>
      <c r="F1" s="72"/>
      <c r="G1" s="72"/>
      <c r="H1" s="72"/>
      <c r="I1" s="72"/>
      <c r="J1" s="72"/>
      <c r="K1" s="72"/>
      <c r="L1" s="72"/>
      <c r="M1" s="72"/>
      <c r="N1" s="72"/>
      <c r="O1" s="72"/>
      <c r="P1" s="72"/>
      <c r="Q1" s="12"/>
      <c r="R1" s="12"/>
      <c r="S1" s="12"/>
      <c r="T1" s="12"/>
      <c r="U1" s="12"/>
      <c r="V1" s="12"/>
      <c r="W1" s="12"/>
      <c r="X1" s="12"/>
      <c r="Y1" s="12"/>
      <c r="Z1" s="12"/>
    </row>
    <row r="2" spans="1:26" ht="15" customHeight="1" x14ac:dyDescent="0.3">
      <c r="A2" s="43"/>
      <c r="B2" s="43"/>
      <c r="C2" s="13"/>
      <c r="D2" s="43"/>
      <c r="E2" s="43" t="s">
        <v>135</v>
      </c>
      <c r="F2" s="13"/>
      <c r="G2" s="14" t="s">
        <v>650</v>
      </c>
      <c r="H2" s="14"/>
      <c r="I2" s="43"/>
      <c r="J2" s="43"/>
      <c r="K2" s="43"/>
      <c r="L2" s="43"/>
      <c r="M2" s="43"/>
      <c r="N2" s="43"/>
      <c r="O2" s="13"/>
      <c r="P2" s="13"/>
      <c r="Q2" s="13"/>
      <c r="R2" s="13"/>
      <c r="S2" s="13"/>
      <c r="T2" s="13"/>
      <c r="U2" s="13"/>
      <c r="V2" s="13"/>
      <c r="W2" s="13"/>
      <c r="X2" s="13"/>
      <c r="Y2" s="13"/>
      <c r="Z2" s="13"/>
    </row>
    <row r="3" spans="1:26" ht="15" customHeight="1" x14ac:dyDescent="0.3">
      <c r="A3" s="43"/>
      <c r="B3" s="43"/>
      <c r="C3" s="13"/>
      <c r="D3" s="43"/>
      <c r="E3" s="43"/>
      <c r="F3" s="43"/>
      <c r="G3" s="13"/>
      <c r="H3" s="13"/>
      <c r="I3" s="13"/>
      <c r="J3" s="13"/>
      <c r="K3" s="13"/>
      <c r="L3" s="13"/>
      <c r="M3" s="13"/>
      <c r="N3" s="13"/>
      <c r="O3" s="13"/>
      <c r="P3" s="13"/>
      <c r="Q3" s="13"/>
      <c r="R3" s="13"/>
      <c r="S3" s="13"/>
      <c r="T3" s="13"/>
      <c r="U3" s="13"/>
      <c r="V3" s="13"/>
      <c r="W3" s="13"/>
      <c r="X3" s="13"/>
      <c r="Y3" s="13"/>
      <c r="Z3" s="13"/>
    </row>
    <row r="4" spans="1:26" ht="15" customHeight="1" x14ac:dyDescent="0.25">
      <c r="A4" s="15" t="s">
        <v>136</v>
      </c>
      <c r="B4" s="16"/>
      <c r="C4" s="17"/>
      <c r="D4" s="43"/>
      <c r="E4" s="15" t="s">
        <v>137</v>
      </c>
      <c r="F4" s="16"/>
      <c r="G4" s="16"/>
      <c r="H4" s="17"/>
      <c r="I4" s="43"/>
      <c r="J4" s="43"/>
      <c r="K4" s="43"/>
      <c r="L4" s="43"/>
      <c r="M4" s="18"/>
      <c r="N4" s="43"/>
      <c r="O4" s="43"/>
      <c r="P4" s="43"/>
      <c r="Q4" s="43"/>
      <c r="R4" s="43"/>
      <c r="S4" s="43"/>
      <c r="T4" s="43"/>
      <c r="U4" s="43"/>
      <c r="V4" s="43"/>
      <c r="W4" s="43"/>
      <c r="X4" s="43"/>
    </row>
    <row r="5" spans="1:26" ht="15" customHeight="1" x14ac:dyDescent="0.25">
      <c r="A5" s="19"/>
      <c r="B5" s="43" t="s">
        <v>138</v>
      </c>
      <c r="C5" s="20" t="s">
        <v>139</v>
      </c>
      <c r="D5" s="43"/>
      <c r="E5" s="90" t="str">
        <f>"Enterprise value calculation in "&amp;MAIN_CURRENCY&amp;" MM"</f>
        <v>Enterprise value calculation in USD MM</v>
      </c>
      <c r="F5" s="43"/>
      <c r="G5" s="43"/>
      <c r="H5" s="91"/>
      <c r="I5" s="43"/>
      <c r="J5" s="43"/>
      <c r="K5" s="43"/>
      <c r="L5" s="43"/>
      <c r="M5" s="18"/>
      <c r="N5" s="43"/>
      <c r="O5" s="43"/>
      <c r="P5" s="43"/>
      <c r="Q5" s="43"/>
      <c r="R5" s="43"/>
      <c r="S5" s="43"/>
      <c r="T5" s="43"/>
      <c r="U5" s="43"/>
      <c r="V5" s="43"/>
      <c r="W5" s="43"/>
      <c r="X5" s="43"/>
    </row>
    <row r="6" spans="1:26" ht="15" customHeight="1" x14ac:dyDescent="0.25">
      <c r="A6" s="19"/>
      <c r="B6" s="43" t="s">
        <v>140</v>
      </c>
      <c r="C6" s="20" t="s">
        <v>141</v>
      </c>
      <c r="D6" s="43"/>
      <c r="E6" s="92" t="s">
        <v>142</v>
      </c>
      <c r="F6" s="43"/>
      <c r="G6" s="43"/>
      <c r="H6" s="91">
        <f>D36*'1'!COMP_FX</f>
        <v>344591.76486895996</v>
      </c>
      <c r="I6" s="43"/>
      <c r="J6" s="43"/>
      <c r="K6" s="43"/>
      <c r="L6" s="43"/>
      <c r="M6" s="18"/>
      <c r="N6" s="43"/>
      <c r="O6" s="43"/>
      <c r="P6" s="43"/>
      <c r="Q6" s="43"/>
      <c r="R6" s="43"/>
      <c r="S6" s="43"/>
      <c r="T6" s="43"/>
      <c r="U6" s="43"/>
      <c r="V6" s="43"/>
      <c r="W6" s="43"/>
      <c r="X6" s="43"/>
    </row>
    <row r="7" spans="1:26" ht="15" customHeight="1" x14ac:dyDescent="0.25">
      <c r="A7" s="19"/>
      <c r="B7" s="43" t="s">
        <v>143</v>
      </c>
      <c r="C7" s="93">
        <f>ANALYSIS_DATE</f>
        <v>46076</v>
      </c>
      <c r="D7" s="43"/>
      <c r="E7" s="92" t="s">
        <v>144</v>
      </c>
      <c r="F7" s="43"/>
      <c r="G7" s="43"/>
      <c r="H7" s="91">
        <f>SUM(G31:G33)*'1'!COMP_FX</f>
        <v>45492</v>
      </c>
      <c r="I7" s="43"/>
      <c r="J7" s="43"/>
      <c r="K7" s="43"/>
      <c r="L7" s="43"/>
      <c r="M7" s="18"/>
      <c r="N7" s="43"/>
      <c r="O7" s="43"/>
      <c r="P7" s="43"/>
      <c r="Q7" s="43"/>
      <c r="R7" s="43"/>
      <c r="S7" s="43"/>
      <c r="T7" s="43"/>
      <c r="U7" s="43"/>
      <c r="V7" s="43"/>
      <c r="W7" s="43"/>
      <c r="X7" s="43"/>
    </row>
    <row r="8" spans="1:26" ht="15" customHeight="1" x14ac:dyDescent="0.25">
      <c r="A8" s="19"/>
      <c r="B8" s="43" t="s">
        <v>145</v>
      </c>
      <c r="C8" s="250">
        <f>Trading_comps!D5</f>
        <v>46022</v>
      </c>
      <c r="D8" s="43"/>
      <c r="E8" s="92" t="s">
        <v>146</v>
      </c>
      <c r="F8" s="43"/>
      <c r="G8" s="43"/>
      <c r="H8" s="91">
        <f>SUM(J31:J32)*'1'!COMP_FX</f>
        <v>15806</v>
      </c>
      <c r="I8" s="43"/>
      <c r="J8" s="43"/>
      <c r="K8" s="43"/>
      <c r="L8" s="43"/>
      <c r="M8" s="43"/>
      <c r="N8" s="43"/>
      <c r="O8" s="43"/>
      <c r="P8" s="43"/>
      <c r="Q8" s="43"/>
      <c r="R8" s="43"/>
      <c r="S8" s="43"/>
      <c r="T8" s="43"/>
      <c r="U8" s="43"/>
      <c r="V8" s="43"/>
      <c r="W8" s="43"/>
      <c r="X8" s="43"/>
    </row>
    <row r="9" spans="1:26" ht="15" customHeight="1" x14ac:dyDescent="0.25">
      <c r="A9" s="21"/>
      <c r="B9" s="43" t="s">
        <v>147</v>
      </c>
      <c r="C9" s="94" t="str">
        <f>MAIN_CURRENCY</f>
        <v>USD</v>
      </c>
      <c r="D9" s="43"/>
      <c r="E9" s="92" t="s">
        <v>148</v>
      </c>
      <c r="F9" s="43"/>
      <c r="G9" s="43"/>
      <c r="H9" s="91">
        <f>(SUM(J33:J37)-SUM(G34:G37))*'1'!COMP_FX</f>
        <v>18129</v>
      </c>
      <c r="I9" s="43"/>
      <c r="J9" s="43"/>
      <c r="K9" s="43"/>
      <c r="L9" s="43"/>
      <c r="M9" s="43"/>
      <c r="N9" s="43"/>
      <c r="O9" s="43"/>
      <c r="P9" s="43"/>
      <c r="Q9" s="43"/>
      <c r="R9" s="43"/>
      <c r="S9" s="43"/>
      <c r="T9" s="43"/>
      <c r="U9" s="43"/>
      <c r="V9" s="43"/>
      <c r="W9" s="43"/>
      <c r="X9" s="43"/>
    </row>
    <row r="10" spans="1:26" ht="15" customHeight="1" x14ac:dyDescent="0.25">
      <c r="A10" s="19"/>
      <c r="B10" s="43" t="s">
        <v>55</v>
      </c>
      <c r="C10" s="146">
        <v>0.223</v>
      </c>
      <c r="D10" s="43"/>
      <c r="E10" s="95" t="s">
        <v>149</v>
      </c>
      <c r="F10" s="85"/>
      <c r="G10" s="85"/>
      <c r="H10" s="96">
        <f>'1'!COMP_EQ_VALUE+'1'!TOTAL_DEBT-H8-H9</f>
        <v>356148.76486895996</v>
      </c>
      <c r="I10" s="43"/>
      <c r="J10" s="43"/>
      <c r="K10" s="43"/>
      <c r="L10" s="43"/>
      <c r="M10" s="43"/>
      <c r="N10" s="43"/>
      <c r="O10" s="43"/>
      <c r="P10" s="43"/>
      <c r="Q10" s="43"/>
      <c r="R10" s="43"/>
      <c r="S10" s="43"/>
      <c r="T10" s="43"/>
      <c r="U10" s="43"/>
      <c r="V10" s="43"/>
      <c r="W10" s="43"/>
      <c r="X10" s="43"/>
    </row>
    <row r="11" spans="1:26" ht="15" customHeight="1" x14ac:dyDescent="0.25">
      <c r="A11" s="19"/>
      <c r="B11" s="43" t="s">
        <v>150</v>
      </c>
      <c r="C11" s="23">
        <v>46022</v>
      </c>
      <c r="D11" s="43"/>
      <c r="E11" s="43"/>
      <c r="F11" s="43"/>
      <c r="G11" s="43"/>
      <c r="H11" s="43"/>
      <c r="I11" s="43"/>
      <c r="J11" s="43"/>
      <c r="K11" s="43"/>
      <c r="L11" s="43"/>
      <c r="M11" s="43"/>
      <c r="N11" s="43"/>
      <c r="O11" s="43"/>
      <c r="P11" s="43"/>
      <c r="Q11" s="43"/>
      <c r="R11" s="43"/>
      <c r="S11" s="43"/>
      <c r="T11" s="43"/>
      <c r="U11" s="43"/>
      <c r="V11" s="43"/>
      <c r="W11" s="43"/>
      <c r="X11" s="43"/>
    </row>
    <row r="12" spans="1:26" ht="15" customHeight="1" x14ac:dyDescent="0.25">
      <c r="A12" s="19"/>
      <c r="B12" s="43" t="s">
        <v>151</v>
      </c>
      <c r="C12" s="24" t="s">
        <v>667</v>
      </c>
      <c r="D12" s="43"/>
      <c r="E12" s="15" t="s">
        <v>152</v>
      </c>
      <c r="F12" s="16"/>
      <c r="G12" s="16"/>
      <c r="H12" s="16"/>
      <c r="I12" s="16"/>
      <c r="J12" s="16"/>
      <c r="K12" s="17"/>
      <c r="L12" s="43"/>
      <c r="M12" s="43"/>
      <c r="N12" s="43"/>
      <c r="O12" s="43"/>
      <c r="P12" s="43"/>
      <c r="Q12" s="43"/>
      <c r="R12" s="43"/>
      <c r="S12" s="43"/>
      <c r="T12" s="43"/>
      <c r="U12" s="43"/>
      <c r="V12" s="43"/>
      <c r="W12" s="43"/>
      <c r="X12" s="43"/>
    </row>
    <row r="13" spans="1:26" ht="15" customHeight="1" x14ac:dyDescent="0.25">
      <c r="A13" s="19"/>
      <c r="B13" s="43" t="s">
        <v>153</v>
      </c>
      <c r="C13" s="93">
        <f>DATE(RIGHT(C12,4),LEFT(C12,2),MID(C12,4,2))</f>
        <v>46022</v>
      </c>
      <c r="D13" s="43"/>
      <c r="E13" s="90" t="str">
        <f>"Numbers in "&amp;MAIN_CURRENCY&amp;" MM"</f>
        <v>Numbers in USD MM</v>
      </c>
      <c r="F13" s="43"/>
      <c r="G13" s="62" t="s">
        <v>132</v>
      </c>
      <c r="H13" s="97" t="str">
        <f>YEAR($C$8)+1&amp;"e"</f>
        <v>2026e</v>
      </c>
      <c r="I13" s="97" t="str">
        <f>YEAR($C$8)+2&amp;"e"</f>
        <v>2027e</v>
      </c>
      <c r="J13" s="97" t="str">
        <f>YEAR($C$8)+3&amp;"e"</f>
        <v>2028e</v>
      </c>
      <c r="K13" s="98" t="str">
        <f>YEAR($C$8)+4&amp;"e"</f>
        <v>2029e</v>
      </c>
      <c r="L13" s="43"/>
      <c r="M13" s="43"/>
      <c r="N13" s="43"/>
      <c r="O13" s="43"/>
      <c r="P13" s="43"/>
      <c r="Q13" s="43"/>
      <c r="R13" s="43"/>
      <c r="S13" s="43"/>
      <c r="T13" s="43"/>
      <c r="U13" s="43"/>
      <c r="V13" s="43"/>
      <c r="W13" s="43"/>
      <c r="X13" s="43"/>
    </row>
    <row r="14" spans="1:26" ht="15" customHeight="1" x14ac:dyDescent="0.25">
      <c r="A14" s="19"/>
      <c r="B14" s="43" t="s">
        <v>154</v>
      </c>
      <c r="C14" s="25" t="s">
        <v>155</v>
      </c>
      <c r="D14" s="43"/>
      <c r="E14" s="90" t="s">
        <v>75</v>
      </c>
      <c r="F14" s="43"/>
      <c r="G14" s="43">
        <f>G44*'1'!COMP_FX</f>
        <v>48062</v>
      </c>
      <c r="H14" s="62">
        <f>IF(I$80&gt;0,SUMPRODUCT('1'!COMP_CALENDARIZE_PERCENTAGES,H44:J44)*I$81*'1'!COMP_FX,"N/A")</f>
        <v>49005</v>
      </c>
      <c r="I14" s="62">
        <f>IF(J$80&gt;0,SUMPRODUCT('1'!COMP_CALENDARIZE_PERCENTAGES,I44:K44)*J$81*'1'!COMP_FX,"N/A")</f>
        <v>49824.7</v>
      </c>
      <c r="J14" s="62">
        <f>IF(K$80&gt;0,SUMPRODUCT('1'!COMP_CALENDARIZE_PERCENTAGES,J44:L44)*K$81*'1'!COMP_FX,"N/A")</f>
        <v>52528.6</v>
      </c>
      <c r="K14" s="94" t="str">
        <f>IF(L$80&gt;0,SUMPRODUCT('1'!COMP_CALENDARIZE_PERCENTAGES,K44:M44)*L$81*'1'!COMP_FX,"N/A")</f>
        <v>N/A</v>
      </c>
      <c r="L14" s="43"/>
      <c r="M14" s="43"/>
      <c r="N14" s="43"/>
      <c r="O14" s="43"/>
      <c r="P14" s="43"/>
      <c r="Q14" s="43"/>
      <c r="R14" s="43"/>
      <c r="S14" s="43"/>
      <c r="T14" s="43"/>
      <c r="U14" s="43"/>
      <c r="V14" s="43"/>
      <c r="W14" s="43"/>
      <c r="X14" s="43"/>
    </row>
    <row r="15" spans="1:26" ht="15" customHeight="1" x14ac:dyDescent="0.25">
      <c r="A15" s="19"/>
      <c r="B15" s="43" t="s">
        <v>156</v>
      </c>
      <c r="C15" s="26">
        <v>1</v>
      </c>
      <c r="D15" s="43"/>
      <c r="E15" s="90" t="s">
        <v>18</v>
      </c>
      <c r="F15" s="43"/>
      <c r="G15" s="43">
        <f>G55*'1'!COMP_FX</f>
        <v>16063</v>
      </c>
      <c r="H15" s="62">
        <f>IF(I$80&gt;0,SUMPRODUCT('1'!COMP_CALENDARIZE_PERCENTAGES,H55:J55)*I$81*'1'!COMP_FX,"N/A")</f>
        <v>17272.8</v>
      </c>
      <c r="I15" s="62">
        <f>IF(J$80&gt;0,SUMPRODUCT('1'!COMP_CALENDARIZE_PERCENTAGES,I55:K55)*J$81*'1'!COMP_FX,"N/A")</f>
        <v>18252.099999999999</v>
      </c>
      <c r="J15" s="62">
        <f>IF(K$80&gt;0,SUMPRODUCT('1'!COMP_CALENDARIZE_PERCENTAGES,J55:L55)*K$81*'1'!COMP_FX,"N/A")</f>
        <v>19728.3</v>
      </c>
      <c r="K15" s="94" t="str">
        <f>IF(L$80&gt;0,SUMPRODUCT('1'!COMP_CALENDARIZE_PERCENTAGES,K55:M55)*L$81*'1'!COMP_FX,"N/A")</f>
        <v>N/A</v>
      </c>
      <c r="L15" s="43"/>
      <c r="M15" s="43"/>
      <c r="N15" s="43"/>
      <c r="O15" s="43"/>
      <c r="P15" s="43"/>
      <c r="Q15" s="43"/>
      <c r="R15" s="43"/>
      <c r="S15" s="43"/>
      <c r="T15" s="43"/>
      <c r="U15" s="43"/>
      <c r="V15" s="43"/>
      <c r="W15" s="43"/>
      <c r="X15" s="43"/>
    </row>
    <row r="16" spans="1:26" ht="15" customHeight="1" x14ac:dyDescent="0.25">
      <c r="A16" s="19"/>
      <c r="B16" s="43" t="s">
        <v>157</v>
      </c>
      <c r="C16" s="27">
        <v>79.84</v>
      </c>
      <c r="D16" s="43"/>
      <c r="E16" s="90" t="s">
        <v>17</v>
      </c>
      <c r="F16" s="43"/>
      <c r="G16" s="43">
        <f>G53*'1'!COMP_FX</f>
        <v>15013</v>
      </c>
      <c r="H16" s="62">
        <f>IF(I$80&gt;0,SUMPRODUCT('1'!COMP_CALENDARIZE_PERCENTAGES,H53:J53)*I$81*'1'!COMP_FX,"N/A")</f>
        <v>16172.8</v>
      </c>
      <c r="I16" s="62">
        <f>IF(J$80&gt;0,SUMPRODUCT('1'!COMP_CALENDARIZE_PERCENTAGES,I53:K53)*J$81*'1'!COMP_FX,"N/A")</f>
        <v>17152.099999999999</v>
      </c>
      <c r="J16" s="62">
        <f>IF(K$80&gt;0,SUMPRODUCT('1'!COMP_CALENDARIZE_PERCENTAGES,J53:L53)*K$81*'1'!COMP_FX,"N/A")</f>
        <v>18628.3</v>
      </c>
      <c r="K16" s="94" t="str">
        <f>IF(L$80&gt;0,SUMPRODUCT('1'!COMP_CALENDARIZE_PERCENTAGES,K53:M53)*L$81*'1'!COMP_FX,"N/A")</f>
        <v>N/A</v>
      </c>
      <c r="L16" s="43"/>
      <c r="M16" s="43"/>
      <c r="N16" s="43"/>
      <c r="O16" s="43"/>
      <c r="P16" s="43"/>
      <c r="Q16" s="43"/>
      <c r="R16" s="43"/>
      <c r="S16" s="43"/>
      <c r="T16" s="43"/>
      <c r="U16" s="43"/>
      <c r="V16" s="43"/>
      <c r="W16" s="43"/>
      <c r="X16" s="43"/>
    </row>
    <row r="17" spans="1:24" ht="15" customHeight="1" x14ac:dyDescent="0.25">
      <c r="A17" s="19"/>
      <c r="B17" s="43" t="s">
        <v>158</v>
      </c>
      <c r="C17" s="27">
        <v>65.349999999999994</v>
      </c>
      <c r="D17" s="43"/>
      <c r="E17" s="99" t="s">
        <v>159</v>
      </c>
      <c r="F17" s="85"/>
      <c r="G17" s="85"/>
      <c r="H17" s="100">
        <f>IF(I$80&gt;0,SUMPRODUCT('1'!COMP_CALENDARIZE_PERCENTAGES,H56:J56)*I$81*'1'!COMP_FX,"N/A")</f>
        <v>3.23</v>
      </c>
      <c r="I17" s="100">
        <f>IF(J$80&gt;0,SUMPRODUCT('1'!COMP_CALENDARIZE_PERCENTAGES,I56:K56)*J$81*'1'!COMP_FX,"N/A")</f>
        <v>3.46</v>
      </c>
      <c r="J17" s="100">
        <f>IF(K$80&gt;0,SUMPRODUCT('1'!COMP_CALENDARIZE_PERCENTAGES,J56:L56)*K$81*'1'!COMP_FX,"N/A")</f>
        <v>3.7</v>
      </c>
      <c r="K17" s="101" t="str">
        <f>IF(L$80&gt;0,SUMPRODUCT('1'!COMP_CALENDARIZE_PERCENTAGES,K56:M56)*L$81*'1'!COMP_FX,"N/A")</f>
        <v>N/A</v>
      </c>
      <c r="L17" s="43"/>
      <c r="M17" s="43"/>
      <c r="N17" s="43"/>
      <c r="O17" s="43"/>
      <c r="P17" s="43"/>
      <c r="Q17" s="43"/>
      <c r="R17" s="43"/>
      <c r="S17" s="43"/>
      <c r="T17" s="43"/>
      <c r="U17" s="43"/>
      <c r="V17" s="43"/>
      <c r="W17" s="43"/>
      <c r="X17" s="43"/>
    </row>
    <row r="18" spans="1:24" ht="15" customHeight="1" x14ac:dyDescent="0.25">
      <c r="A18" s="19"/>
      <c r="B18" s="43" t="s">
        <v>160</v>
      </c>
      <c r="C18" s="27">
        <v>80.41</v>
      </c>
      <c r="D18" s="43"/>
      <c r="E18" s="43"/>
      <c r="F18" s="43"/>
      <c r="G18" s="43"/>
      <c r="H18" s="43"/>
      <c r="I18" s="43"/>
      <c r="J18" s="43"/>
      <c r="K18" s="43"/>
      <c r="L18" s="43"/>
      <c r="M18" s="43"/>
      <c r="N18" s="43"/>
      <c r="O18" s="43"/>
      <c r="P18" s="43"/>
      <c r="Q18" s="43"/>
      <c r="R18" s="43"/>
      <c r="S18" s="43"/>
      <c r="T18" s="43"/>
      <c r="U18" s="43"/>
      <c r="V18" s="43"/>
      <c r="W18" s="43"/>
      <c r="X18" s="43"/>
    </row>
    <row r="19" spans="1:24" ht="15" customHeight="1" x14ac:dyDescent="0.25">
      <c r="A19" s="19"/>
      <c r="B19" s="43" t="s">
        <v>161</v>
      </c>
      <c r="C19" s="25" t="s">
        <v>162</v>
      </c>
      <c r="D19" s="43"/>
      <c r="E19" s="15" t="s">
        <v>163</v>
      </c>
      <c r="F19" s="16"/>
      <c r="G19" s="16"/>
      <c r="H19" s="16"/>
      <c r="I19" s="16"/>
      <c r="J19" s="16"/>
      <c r="K19" s="17"/>
      <c r="L19" s="43"/>
      <c r="M19" s="43"/>
      <c r="N19" s="43"/>
      <c r="O19" s="43"/>
      <c r="P19" s="43"/>
      <c r="Q19" s="43"/>
      <c r="R19" s="43"/>
      <c r="S19" s="43"/>
      <c r="T19" s="43"/>
      <c r="U19" s="43"/>
      <c r="V19" s="43"/>
      <c r="W19" s="43"/>
      <c r="X19" s="43"/>
    </row>
    <row r="20" spans="1:24" ht="15" customHeight="1" x14ac:dyDescent="0.25">
      <c r="A20" s="19"/>
      <c r="B20" s="43" t="s">
        <v>164</v>
      </c>
      <c r="C20" s="27">
        <v>0.56999999999999995</v>
      </c>
      <c r="D20" s="43"/>
      <c r="E20" s="90" t="s">
        <v>165</v>
      </c>
      <c r="F20" s="43"/>
      <c r="G20" s="62" t="str">
        <f>G13</f>
        <v>LTM</v>
      </c>
      <c r="H20" s="62" t="str">
        <f>H13</f>
        <v>2026e</v>
      </c>
      <c r="I20" s="62" t="str">
        <f>I13</f>
        <v>2027e</v>
      </c>
      <c r="J20" s="62" t="str">
        <f>J13</f>
        <v>2028e</v>
      </c>
      <c r="K20" s="94" t="str">
        <f>K13</f>
        <v>2029e</v>
      </c>
      <c r="L20" s="43"/>
      <c r="M20" s="43"/>
      <c r="N20" s="43"/>
      <c r="O20" s="43"/>
      <c r="P20" s="43"/>
      <c r="Q20" s="43"/>
      <c r="R20" s="43"/>
      <c r="S20" s="43"/>
      <c r="T20" s="43"/>
      <c r="U20" s="43"/>
      <c r="V20" s="43"/>
      <c r="W20" s="43"/>
      <c r="X20" s="43"/>
    </row>
    <row r="21" spans="1:24" ht="15" customHeight="1" x14ac:dyDescent="0.25">
      <c r="A21" s="19"/>
      <c r="B21" s="43" t="s">
        <v>166</v>
      </c>
      <c r="C21" s="146">
        <v>6.5000000000000002E-2</v>
      </c>
      <c r="D21" s="43"/>
      <c r="E21" s="90" t="s">
        <v>167</v>
      </c>
      <c r="F21" s="43"/>
      <c r="G21" s="102">
        <f>IF(G14&lt;&gt;0,$H$10/G14,"N/A")</f>
        <v>7.4101944336265646</v>
      </c>
      <c r="H21" s="102">
        <f t="shared" ref="H21:J23" si="0">IF(ISNUMBER(H14),$H$10/H14,"N/A")</f>
        <v>7.267600548290174</v>
      </c>
      <c r="I21" s="102">
        <f t="shared" si="0"/>
        <v>7.1480363126914961</v>
      </c>
      <c r="J21" s="102">
        <f t="shared" si="0"/>
        <v>6.7800924614202547</v>
      </c>
      <c r="K21" s="103" t="str">
        <f>IFERROR($H$10/K14,"N/A")</f>
        <v>N/A</v>
      </c>
      <c r="L21" s="43"/>
      <c r="M21" s="43"/>
      <c r="N21" s="43"/>
      <c r="O21" s="43"/>
      <c r="P21" s="43"/>
      <c r="Q21" s="43"/>
      <c r="R21" s="43"/>
      <c r="S21" s="43"/>
      <c r="T21" s="43"/>
      <c r="U21" s="43"/>
      <c r="V21" s="43"/>
      <c r="W21" s="43"/>
      <c r="X21" s="43"/>
    </row>
    <row r="22" spans="1:24" ht="15" customHeight="1" x14ac:dyDescent="0.25">
      <c r="A22" s="19"/>
      <c r="B22" s="43" t="s">
        <v>168</v>
      </c>
      <c r="C22" s="104">
        <f>G53/G44</f>
        <v>0.31236735882818029</v>
      </c>
      <c r="D22" s="43"/>
      <c r="E22" s="90" t="s">
        <v>134</v>
      </c>
      <c r="F22" s="43"/>
      <c r="G22" s="102">
        <f>IF(G15&lt;&gt;0,$H$10/G15,"N/A")</f>
        <v>22.171995571746248</v>
      </c>
      <c r="H22" s="102">
        <f t="shared" si="0"/>
        <v>20.619052201667358</v>
      </c>
      <c r="I22" s="102">
        <f t="shared" si="0"/>
        <v>19.512755511363622</v>
      </c>
      <c r="J22" s="102">
        <f t="shared" si="0"/>
        <v>18.052683954976352</v>
      </c>
      <c r="K22" s="103" t="str">
        <f>IFERROR($H$10/K15,"N/A")</f>
        <v>N/A</v>
      </c>
      <c r="L22" s="43"/>
      <c r="M22" s="43"/>
      <c r="N22" s="43"/>
      <c r="O22" s="43"/>
      <c r="P22" s="43"/>
      <c r="Q22" s="43"/>
      <c r="R22" s="43"/>
      <c r="S22" s="43"/>
      <c r="T22" s="43"/>
      <c r="U22" s="43"/>
      <c r="V22" s="43"/>
      <c r="W22" s="43"/>
      <c r="X22" s="43"/>
    </row>
    <row r="23" spans="1:24" ht="15" customHeight="1" x14ac:dyDescent="0.25">
      <c r="A23" s="28"/>
      <c r="B23" s="85" t="s">
        <v>35</v>
      </c>
      <c r="C23" s="105">
        <f>G53*(1-'1'!COMP_MTR)/D39</f>
        <v>0.26677722636417694</v>
      </c>
      <c r="D23" s="43"/>
      <c r="E23" s="90" t="s">
        <v>169</v>
      </c>
      <c r="F23" s="43"/>
      <c r="G23" s="102">
        <f>IF(G16&lt;&gt;0,$H$10/G16,"N/A")</f>
        <v>23.722691325448608</v>
      </c>
      <c r="H23" s="102">
        <f t="shared" si="0"/>
        <v>22.021465971814404</v>
      </c>
      <c r="I23" s="102">
        <f t="shared" si="0"/>
        <v>20.764149280202425</v>
      </c>
      <c r="J23" s="102">
        <f t="shared" si="0"/>
        <v>19.118693861971302</v>
      </c>
      <c r="K23" s="103" t="str">
        <f>IFERROR($H$10/K16,"N/A")</f>
        <v>N/A</v>
      </c>
      <c r="L23" s="43"/>
      <c r="M23" s="43"/>
      <c r="N23" s="43"/>
      <c r="O23" s="43"/>
      <c r="P23" s="43"/>
      <c r="Q23" s="43"/>
      <c r="R23" s="43"/>
      <c r="S23" s="43"/>
      <c r="T23" s="43"/>
      <c r="U23" s="43"/>
      <c r="V23" s="43"/>
      <c r="W23" s="43"/>
      <c r="X23" s="43"/>
    </row>
    <row r="24" spans="1:24" ht="15" customHeight="1" x14ac:dyDescent="0.25">
      <c r="A24" s="9"/>
      <c r="B24" s="43"/>
      <c r="C24" s="43"/>
      <c r="D24" s="43"/>
      <c r="E24" s="90" t="s">
        <v>170</v>
      </c>
      <c r="F24" s="43"/>
      <c r="G24" s="102"/>
      <c r="H24" s="102">
        <f>IF(ISNUMBER(H17),($C$16*'1'!COMP_FX)/H17,"N/A")</f>
        <v>24.71826625386997</v>
      </c>
      <c r="I24" s="102">
        <f>IF(ISNUMBER(I17),($C$16*'1'!COMP_FX)/I17,"N/A")</f>
        <v>23.075144508670522</v>
      </c>
      <c r="J24" s="102">
        <f>IF(ISNUMBER(J17),($C$16*'1'!COMP_FX)/J17,"N/A")</f>
        <v>21.578378378378378</v>
      </c>
      <c r="K24" s="103" t="str">
        <f>IFERROR(($C$16*'1'!COMP_FX)/K17,"N/A")</f>
        <v>N/A</v>
      </c>
      <c r="L24" s="43"/>
      <c r="M24" s="43"/>
      <c r="N24" s="43"/>
      <c r="O24" s="43"/>
      <c r="P24" s="43"/>
      <c r="Q24" s="43"/>
      <c r="R24" s="43"/>
      <c r="S24" s="43"/>
      <c r="T24" s="43"/>
      <c r="U24" s="43"/>
      <c r="V24" s="43"/>
      <c r="W24" s="43"/>
      <c r="X24" s="43"/>
    </row>
    <row r="25" spans="1:24" ht="15" customHeight="1" x14ac:dyDescent="0.25">
      <c r="A25" s="19"/>
      <c r="B25" s="43"/>
      <c r="C25" s="43"/>
      <c r="D25" s="43"/>
      <c r="E25" s="90" t="s">
        <v>171</v>
      </c>
      <c r="F25" s="43"/>
      <c r="G25" s="102">
        <f>D36/D37</f>
        <v>10.711920322949423</v>
      </c>
      <c r="H25" s="43"/>
      <c r="I25" s="43"/>
      <c r="J25" s="43"/>
      <c r="K25" s="91"/>
      <c r="L25" s="43"/>
      <c r="M25" s="43"/>
      <c r="N25" s="43"/>
      <c r="O25" s="43"/>
      <c r="P25" s="43"/>
      <c r="Q25" s="43"/>
      <c r="R25" s="43"/>
      <c r="S25" s="43"/>
      <c r="T25" s="43"/>
      <c r="U25" s="43"/>
      <c r="V25" s="43"/>
      <c r="W25" s="43"/>
      <c r="X25" s="43"/>
    </row>
    <row r="26" spans="1:24" ht="15" customHeight="1" x14ac:dyDescent="0.25">
      <c r="A26" s="19"/>
      <c r="B26" s="43"/>
      <c r="C26" s="43"/>
      <c r="D26" s="43"/>
      <c r="E26" s="99" t="s">
        <v>172</v>
      </c>
      <c r="F26" s="85"/>
      <c r="G26" s="106">
        <f>IF(G15=0,"N/A",H7/G15)</f>
        <v>2.8320986117163667</v>
      </c>
      <c r="H26" s="85"/>
      <c r="I26" s="85"/>
      <c r="J26" s="85"/>
      <c r="K26" s="96"/>
      <c r="L26" s="43"/>
      <c r="M26" s="43"/>
      <c r="N26" s="43"/>
      <c r="O26" s="43"/>
      <c r="P26" s="43"/>
      <c r="Q26" s="43"/>
      <c r="R26" s="43"/>
      <c r="S26" s="43"/>
      <c r="T26" s="43"/>
      <c r="U26" s="43"/>
      <c r="V26" s="43"/>
      <c r="W26" s="43"/>
      <c r="X26" s="43"/>
    </row>
    <row r="27" spans="1:24" ht="15" customHeight="1" x14ac:dyDescent="0.25">
      <c r="A27" s="19"/>
      <c r="B27" s="43"/>
      <c r="C27" s="43"/>
      <c r="D27" s="43"/>
      <c r="E27" s="43"/>
      <c r="F27" s="43"/>
      <c r="G27" s="43"/>
      <c r="H27" s="43"/>
      <c r="I27" s="43"/>
      <c r="J27" s="43"/>
      <c r="K27" s="43"/>
      <c r="L27" s="43"/>
      <c r="M27" s="43"/>
      <c r="N27" s="43"/>
      <c r="O27" s="43"/>
      <c r="P27" s="43"/>
      <c r="Q27" s="43"/>
      <c r="R27" s="43"/>
      <c r="S27" s="43"/>
      <c r="T27" s="43"/>
      <c r="U27" s="43"/>
      <c r="V27" s="43"/>
      <c r="W27" s="43"/>
      <c r="X27" s="43"/>
    </row>
    <row r="28" spans="1:24" ht="15" customHeight="1" x14ac:dyDescent="0.3">
      <c r="A28" s="15" t="s">
        <v>173</v>
      </c>
      <c r="B28" s="29"/>
      <c r="C28" s="30"/>
      <c r="D28" s="30"/>
      <c r="E28" s="30"/>
      <c r="F28" s="30"/>
      <c r="G28" s="30"/>
      <c r="H28" s="30"/>
      <c r="I28" s="30"/>
      <c r="J28" s="30"/>
      <c r="K28" s="30"/>
      <c r="L28" s="43"/>
      <c r="M28" s="15" t="s">
        <v>174</v>
      </c>
      <c r="N28" s="16"/>
      <c r="O28" s="16"/>
      <c r="P28" s="17"/>
      <c r="Q28" s="43"/>
      <c r="R28" s="43"/>
      <c r="S28" s="43"/>
      <c r="T28" s="43"/>
      <c r="U28" s="43"/>
      <c r="V28" s="43"/>
      <c r="W28" s="43"/>
      <c r="X28" s="43"/>
    </row>
    <row r="29" spans="1:24" ht="15" customHeight="1" x14ac:dyDescent="0.25">
      <c r="A29" s="90"/>
      <c r="B29" s="43"/>
      <c r="C29" s="43"/>
      <c r="D29" s="43"/>
      <c r="E29" s="43"/>
      <c r="F29" s="43"/>
      <c r="H29" s="43"/>
      <c r="I29" s="43"/>
      <c r="J29" s="43"/>
      <c r="K29" s="91"/>
      <c r="L29" s="43"/>
      <c r="M29" s="90" t="s">
        <v>175</v>
      </c>
      <c r="N29" s="62" t="s">
        <v>176</v>
      </c>
      <c r="O29" s="62" t="s">
        <v>177</v>
      </c>
      <c r="P29" s="94" t="s">
        <v>178</v>
      </c>
      <c r="Q29" s="43"/>
      <c r="R29" s="43"/>
      <c r="S29" s="43"/>
      <c r="T29" s="43"/>
      <c r="U29" s="43"/>
      <c r="V29" s="43"/>
      <c r="W29" s="43"/>
      <c r="X29" s="43"/>
    </row>
    <row r="30" spans="1:24" ht="15" customHeight="1" x14ac:dyDescent="0.25">
      <c r="A30" s="19"/>
      <c r="B30" s="10" t="s">
        <v>179</v>
      </c>
      <c r="C30" s="43"/>
      <c r="D30" s="10"/>
      <c r="E30" s="10" t="s">
        <v>180</v>
      </c>
      <c r="F30" s="31"/>
      <c r="G30" s="31"/>
      <c r="H30" s="10" t="s">
        <v>181</v>
      </c>
      <c r="I30" s="31"/>
      <c r="J30" s="31"/>
      <c r="K30" s="91"/>
      <c r="L30" s="43"/>
      <c r="M30" s="32" t="s">
        <v>182</v>
      </c>
      <c r="N30" s="14">
        <v>27</v>
      </c>
      <c r="O30" s="33">
        <v>55.74</v>
      </c>
      <c r="P30" s="91">
        <f>MAX(('1'!COMP_SHAREPRICE-O30)/'1'!COMP_SHAREPRICE*N30,0)</f>
        <v>8.1500501002004011</v>
      </c>
      <c r="Q30" s="43"/>
      <c r="S30" s="43"/>
      <c r="T30" s="43"/>
      <c r="U30" s="43"/>
      <c r="V30" s="43"/>
      <c r="W30" s="43"/>
      <c r="X30" s="43"/>
    </row>
    <row r="31" spans="1:24" ht="15" customHeight="1" x14ac:dyDescent="0.25">
      <c r="A31" s="19"/>
      <c r="B31" s="43" t="s">
        <v>183</v>
      </c>
      <c r="C31" s="43"/>
      <c r="D31" s="34">
        <v>46071</v>
      </c>
      <c r="E31" s="43" t="s">
        <v>184</v>
      </c>
      <c r="F31" s="43"/>
      <c r="G31" s="56">
        <v>1551</v>
      </c>
      <c r="H31" s="43" t="s">
        <v>185</v>
      </c>
      <c r="I31" s="43"/>
      <c r="J31" s="14">
        <f>10270+3602</f>
        <v>13872</v>
      </c>
      <c r="K31" s="91"/>
      <c r="M31" s="32" t="s">
        <v>186</v>
      </c>
      <c r="N31" s="14">
        <v>2.62</v>
      </c>
      <c r="O31" s="33">
        <v>0</v>
      </c>
      <c r="P31" s="91">
        <f>MAX(('1'!COMP_SHAREPRICE-O31)/'1'!COMP_SHAREPRICE*N31,0)</f>
        <v>2.62</v>
      </c>
      <c r="Q31" s="43"/>
      <c r="R31" s="43"/>
      <c r="S31" s="43"/>
      <c r="T31" s="43"/>
      <c r="U31" s="43"/>
      <c r="V31" s="43"/>
    </row>
    <row r="32" spans="1:24" ht="15" customHeight="1" x14ac:dyDescent="0.25">
      <c r="A32" s="19"/>
      <c r="B32" s="43" t="s">
        <v>187</v>
      </c>
      <c r="D32" s="14">
        <v>4300.7230689999997</v>
      </c>
      <c r="E32" s="7" t="s">
        <v>188</v>
      </c>
      <c r="F32" s="43"/>
      <c r="G32" s="56">
        <v>1822</v>
      </c>
      <c r="H32" s="7" t="s">
        <v>189</v>
      </c>
      <c r="I32" s="43"/>
      <c r="J32" s="14">
        <v>1934</v>
      </c>
      <c r="K32" s="91"/>
      <c r="M32" s="32" t="s">
        <v>190</v>
      </c>
      <c r="N32" s="14">
        <v>4.5359999999999996</v>
      </c>
      <c r="O32" s="33">
        <v>0</v>
      </c>
      <c r="P32" s="91">
        <f>MAX(('1'!COMP_SHAREPRICE-O32)/'1'!COMP_SHAREPRICE*N32,0)</f>
        <v>4.5359999999999996</v>
      </c>
      <c r="Q32" s="43"/>
      <c r="R32" s="43"/>
      <c r="S32" s="43"/>
      <c r="T32" s="43"/>
      <c r="U32" s="43"/>
      <c r="V32" s="43"/>
    </row>
    <row r="33" spans="1:26" ht="15" customHeight="1" x14ac:dyDescent="0.25">
      <c r="A33" s="19"/>
      <c r="B33" s="43" t="s">
        <v>191</v>
      </c>
      <c r="D33" s="14">
        <v>0</v>
      </c>
      <c r="E33" s="7" t="s">
        <v>192</v>
      </c>
      <c r="F33" s="43"/>
      <c r="G33" s="56">
        <v>42119</v>
      </c>
      <c r="H33" s="7" t="s">
        <v>193</v>
      </c>
      <c r="I33" s="43"/>
      <c r="J33" s="14">
        <v>20235</v>
      </c>
      <c r="K33" s="91"/>
      <c r="M33" s="32" t="s">
        <v>194</v>
      </c>
      <c r="N33" s="14">
        <v>0</v>
      </c>
      <c r="O33" s="33">
        <v>0</v>
      </c>
      <c r="P33" s="91">
        <f>MAX(('1'!COMP_SHAREPRICE-O33)/'1'!COMP_SHAREPRICE*N33,0)</f>
        <v>0</v>
      </c>
      <c r="Q33" s="43"/>
      <c r="R33" s="43"/>
      <c r="S33" s="43"/>
      <c r="T33" s="43"/>
      <c r="U33" s="43"/>
      <c r="V33" s="43"/>
    </row>
    <row r="34" spans="1:26" ht="15" customHeight="1" x14ac:dyDescent="0.25">
      <c r="A34" s="19"/>
      <c r="B34" s="43" t="s">
        <v>195</v>
      </c>
      <c r="D34" s="43">
        <f>P38</f>
        <v>15.3060501002004</v>
      </c>
      <c r="E34" s="43" t="s">
        <v>196</v>
      </c>
      <c r="F34" s="43"/>
      <c r="G34" s="56">
        <v>0</v>
      </c>
      <c r="H34" s="7" t="s">
        <v>197</v>
      </c>
      <c r="I34" s="43"/>
      <c r="J34" s="14">
        <v>0</v>
      </c>
      <c r="K34" s="91"/>
      <c r="M34" s="32" t="s">
        <v>198</v>
      </c>
      <c r="N34" s="14">
        <v>0</v>
      </c>
      <c r="O34" s="33">
        <v>0</v>
      </c>
      <c r="P34" s="91">
        <f>MAX(('1'!COMP_SHAREPRICE-O34)/'1'!COMP_SHAREPRICE*N34,0)</f>
        <v>0</v>
      </c>
      <c r="Q34" s="43"/>
      <c r="R34" s="43"/>
      <c r="S34" s="43"/>
      <c r="T34" s="43"/>
      <c r="U34" s="43"/>
      <c r="V34" s="43"/>
    </row>
    <row r="35" spans="1:26" ht="15" customHeight="1" x14ac:dyDescent="0.25">
      <c r="A35" s="19"/>
      <c r="B35" s="43" t="s">
        <v>199</v>
      </c>
      <c r="D35" s="43">
        <f>SUM(D32:D34)</f>
        <v>4316.0291191001998</v>
      </c>
      <c r="E35" s="43" t="s">
        <v>200</v>
      </c>
      <c r="F35" s="43"/>
      <c r="G35" s="56">
        <v>2106</v>
      </c>
      <c r="H35" s="7" t="s">
        <v>27</v>
      </c>
      <c r="I35" s="43"/>
      <c r="J35" s="14">
        <v>0</v>
      </c>
      <c r="K35" s="91"/>
      <c r="L35" s="43"/>
      <c r="M35" s="32" t="s">
        <v>201</v>
      </c>
      <c r="N35" s="14">
        <v>0</v>
      </c>
      <c r="O35" s="33">
        <v>0</v>
      </c>
      <c r="P35" s="91">
        <f>MAX(('1'!COMP_SHAREPRICE-O35)/'1'!COMP_SHAREPRICE*N35,0)</f>
        <v>0</v>
      </c>
      <c r="Q35" s="43"/>
      <c r="R35" s="43"/>
      <c r="S35" s="43"/>
      <c r="T35" s="43"/>
      <c r="U35" s="43"/>
      <c r="V35" s="43"/>
    </row>
    <row r="36" spans="1:26" ht="15" customHeight="1" x14ac:dyDescent="0.25">
      <c r="A36" s="19"/>
      <c r="B36" s="43" t="s">
        <v>202</v>
      </c>
      <c r="D36" s="43">
        <f>D35*'1'!COMP_SHAREPRICE</f>
        <v>344591.76486895996</v>
      </c>
      <c r="E36" s="7" t="s">
        <v>27</v>
      </c>
      <c r="F36" s="43"/>
      <c r="G36" s="14">
        <v>0</v>
      </c>
      <c r="H36" s="7" t="s">
        <v>27</v>
      </c>
      <c r="I36" s="43"/>
      <c r="J36" s="14">
        <v>0</v>
      </c>
      <c r="K36" s="91"/>
      <c r="L36" s="43"/>
      <c r="M36" s="32" t="s">
        <v>203</v>
      </c>
      <c r="N36" s="14">
        <v>0</v>
      </c>
      <c r="O36" s="33">
        <v>0</v>
      </c>
      <c r="P36" s="91">
        <f>MAX(('1'!COMP_SHAREPRICE-O36)/'1'!COMP_SHAREPRICE*N36,0)</f>
        <v>0</v>
      </c>
      <c r="Q36" s="43"/>
      <c r="R36" s="43"/>
      <c r="S36" s="43"/>
      <c r="T36" s="43"/>
      <c r="U36" s="43"/>
      <c r="V36" s="43"/>
      <c r="W36" s="81"/>
      <c r="X36" s="81"/>
    </row>
    <row r="37" spans="1:26" ht="15" customHeight="1" x14ac:dyDescent="0.25">
      <c r="A37" s="19"/>
      <c r="B37" s="43" t="s">
        <v>204</v>
      </c>
      <c r="D37" s="14">
        <v>32169</v>
      </c>
      <c r="E37" s="7" t="s">
        <v>27</v>
      </c>
      <c r="F37" s="43"/>
      <c r="G37" s="14">
        <v>0</v>
      </c>
      <c r="H37" s="7" t="s">
        <v>27</v>
      </c>
      <c r="I37" s="43"/>
      <c r="J37" s="14">
        <v>0</v>
      </c>
      <c r="K37" s="91"/>
      <c r="L37" s="43"/>
      <c r="M37" s="32" t="s">
        <v>205</v>
      </c>
      <c r="N37" s="14">
        <v>0</v>
      </c>
      <c r="O37" s="33">
        <v>0</v>
      </c>
      <c r="P37" s="91">
        <f>MAX(('1'!COMP_SHAREPRICE-O37)/'1'!COMP_SHAREPRICE*N37,0)</f>
        <v>0</v>
      </c>
      <c r="Q37" s="43"/>
      <c r="R37" s="43"/>
      <c r="S37" s="107"/>
      <c r="T37" s="81"/>
      <c r="U37" s="81"/>
      <c r="V37" s="81"/>
      <c r="W37" s="81"/>
      <c r="X37" s="81"/>
    </row>
    <row r="38" spans="1:26" ht="15" customHeight="1" x14ac:dyDescent="0.25">
      <c r="A38" s="19"/>
      <c r="B38" s="43" t="s">
        <v>206</v>
      </c>
      <c r="C38" s="43"/>
      <c r="D38" s="43">
        <f>G39-J39</f>
        <v>11557</v>
      </c>
      <c r="F38" s="43"/>
      <c r="G38" s="43"/>
      <c r="H38" s="43"/>
      <c r="I38" s="43"/>
      <c r="J38" s="43"/>
      <c r="K38" s="91"/>
      <c r="L38" s="43"/>
      <c r="M38" s="99" t="s">
        <v>207</v>
      </c>
      <c r="N38" s="85"/>
      <c r="O38" s="85"/>
      <c r="P38" s="96">
        <f>SUM(P30:P37)</f>
        <v>15.3060501002004</v>
      </c>
      <c r="Q38" s="43"/>
      <c r="R38" s="43"/>
      <c r="S38" s="107"/>
      <c r="T38" s="81"/>
      <c r="U38" s="81"/>
      <c r="V38" s="81"/>
      <c r="W38" s="81"/>
      <c r="X38" s="81"/>
    </row>
    <row r="39" spans="1:26" ht="15" customHeight="1" x14ac:dyDescent="0.25">
      <c r="A39" s="85"/>
      <c r="B39" s="85" t="s">
        <v>34</v>
      </c>
      <c r="C39" s="85"/>
      <c r="D39" s="85">
        <f>D37+D38</f>
        <v>43726</v>
      </c>
      <c r="E39" s="85" t="s">
        <v>208</v>
      </c>
      <c r="F39" s="85"/>
      <c r="G39" s="85">
        <f>SUM(G31:G37)</f>
        <v>47598</v>
      </c>
      <c r="H39" s="85" t="s">
        <v>209</v>
      </c>
      <c r="I39" s="85"/>
      <c r="J39" s="85">
        <f>SUM(J31:J37)</f>
        <v>36041</v>
      </c>
      <c r="K39" s="96"/>
      <c r="L39" s="43"/>
      <c r="M39" s="43"/>
      <c r="N39" s="43"/>
      <c r="O39" s="43"/>
      <c r="P39" s="43"/>
      <c r="Q39" s="43"/>
      <c r="R39" s="43"/>
      <c r="S39" s="43"/>
      <c r="T39" s="81"/>
      <c r="U39" s="81"/>
      <c r="V39" s="81"/>
      <c r="W39" s="81"/>
      <c r="X39" s="81"/>
    </row>
    <row r="40" spans="1:26" ht="15" customHeight="1" x14ac:dyDescent="0.25">
      <c r="A40" s="28"/>
      <c r="B40" s="43"/>
      <c r="C40" s="43"/>
      <c r="D40" s="43"/>
      <c r="E40" s="43"/>
      <c r="F40" s="43"/>
      <c r="G40" s="43"/>
      <c r="H40" s="43"/>
      <c r="I40" s="43"/>
      <c r="J40" s="43"/>
      <c r="K40" s="43"/>
      <c r="L40" s="43"/>
      <c r="M40" s="43"/>
      <c r="N40" s="43"/>
      <c r="O40" s="43"/>
      <c r="P40" s="43"/>
      <c r="Q40" s="43"/>
      <c r="R40" s="43"/>
      <c r="S40" s="43"/>
      <c r="T40" s="43"/>
      <c r="U40" s="43"/>
      <c r="V40" s="43"/>
      <c r="W40" s="43"/>
      <c r="X40" s="43"/>
    </row>
    <row r="41" spans="1:26" ht="15" customHeight="1" x14ac:dyDescent="0.3">
      <c r="A41" s="15" t="s">
        <v>210</v>
      </c>
      <c r="B41" s="29"/>
      <c r="C41" s="30"/>
      <c r="D41" s="30"/>
      <c r="E41" s="30"/>
      <c r="F41" s="30"/>
      <c r="G41" s="30"/>
      <c r="H41" s="30"/>
      <c r="I41" s="16" t="s">
        <v>211</v>
      </c>
      <c r="J41" s="30"/>
      <c r="K41" s="30"/>
      <c r="L41" s="35"/>
      <c r="M41" s="43"/>
      <c r="N41" s="43"/>
      <c r="O41" s="43"/>
      <c r="P41" s="43"/>
      <c r="Q41" s="43"/>
      <c r="R41" s="43"/>
      <c r="S41" s="43"/>
      <c r="T41" s="43"/>
      <c r="U41" s="43"/>
      <c r="V41" s="43"/>
      <c r="W41" s="43"/>
      <c r="X41" s="43"/>
    </row>
    <row r="42" spans="1:26" ht="15.75" customHeight="1" x14ac:dyDescent="0.25">
      <c r="A42" s="19"/>
      <c r="B42" s="43"/>
      <c r="C42" s="62" t="s">
        <v>212</v>
      </c>
      <c r="D42" s="108" t="s">
        <v>213</v>
      </c>
      <c r="E42" s="108" t="s">
        <v>214</v>
      </c>
      <c r="F42" s="43" t="s">
        <v>191</v>
      </c>
      <c r="G42" s="62" t="s">
        <v>215</v>
      </c>
      <c r="H42" s="62" t="s">
        <v>216</v>
      </c>
      <c r="I42" s="62" t="s">
        <v>217</v>
      </c>
      <c r="J42" s="62" t="s">
        <v>218</v>
      </c>
      <c r="K42" s="62" t="s">
        <v>219</v>
      </c>
      <c r="L42" s="94" t="s">
        <v>220</v>
      </c>
      <c r="M42" s="43"/>
      <c r="O42" s="43"/>
      <c r="P42" s="43"/>
      <c r="S42" s="43"/>
      <c r="T42" s="43"/>
      <c r="U42" s="43"/>
      <c r="V42" s="43"/>
      <c r="W42" s="43"/>
      <c r="X42" s="43"/>
    </row>
    <row r="43" spans="1:26" ht="15" customHeight="1" x14ac:dyDescent="0.25">
      <c r="A43" s="19"/>
      <c r="B43" s="43" t="s">
        <v>3</v>
      </c>
      <c r="C43" s="109">
        <f>C11</f>
        <v>46022</v>
      </c>
      <c r="D43" s="36">
        <v>0</v>
      </c>
      <c r="E43" s="36">
        <v>0</v>
      </c>
      <c r="F43" s="43"/>
      <c r="G43" s="109">
        <f>C13</f>
        <v>46022</v>
      </c>
      <c r="H43" s="109">
        <f>C43</f>
        <v>46022</v>
      </c>
      <c r="I43" s="109">
        <f>EDATE(C43,12)</f>
        <v>46387</v>
      </c>
      <c r="J43" s="109">
        <f>EDATE(I43,12)</f>
        <v>46752</v>
      </c>
      <c r="K43" s="109">
        <f>EDATE(J43,12)</f>
        <v>47118</v>
      </c>
      <c r="L43" s="93">
        <f>EDATE(K43,12)</f>
        <v>47483</v>
      </c>
      <c r="M43" s="43"/>
      <c r="N43" s="43"/>
      <c r="O43" s="43"/>
      <c r="P43" s="43"/>
      <c r="Q43" s="43"/>
      <c r="R43" s="43"/>
      <c r="S43" s="43"/>
      <c r="T43" s="43"/>
      <c r="U43" s="43"/>
      <c r="V43" s="43"/>
      <c r="W43" s="43"/>
      <c r="X43" s="43"/>
      <c r="Y43" s="43"/>
      <c r="Z43" s="43"/>
    </row>
    <row r="44" spans="1:26" ht="15" customHeight="1" x14ac:dyDescent="0.25">
      <c r="A44" s="19"/>
      <c r="B44" s="43" t="s">
        <v>75</v>
      </c>
      <c r="C44" s="14">
        <v>48062</v>
      </c>
      <c r="D44" s="14">
        <v>0</v>
      </c>
      <c r="E44" s="14">
        <v>0</v>
      </c>
      <c r="F44" s="14">
        <v>0</v>
      </c>
      <c r="G44" s="43">
        <f>C44-D44+E44+F44</f>
        <v>48062</v>
      </c>
      <c r="H44" s="43">
        <f>C44</f>
        <v>48062</v>
      </c>
      <c r="I44" s="14">
        <v>49005</v>
      </c>
      <c r="J44" s="53">
        <v>49824.7</v>
      </c>
      <c r="K44" s="53">
        <v>52528.6</v>
      </c>
      <c r="L44" s="37" t="s">
        <v>221</v>
      </c>
      <c r="M44" s="156"/>
      <c r="N44" s="43" t="s">
        <v>668</v>
      </c>
      <c r="O44" s="43"/>
      <c r="P44" s="43"/>
      <c r="Q44" s="43"/>
      <c r="R44" s="43"/>
      <c r="S44" s="43"/>
      <c r="T44" s="43"/>
      <c r="U44" s="43"/>
      <c r="V44" s="43"/>
      <c r="W44" s="43"/>
      <c r="X44" s="43"/>
      <c r="Y44" s="43"/>
      <c r="Z44" s="43"/>
    </row>
    <row r="45" spans="1:26" ht="15" customHeight="1" x14ac:dyDescent="0.25">
      <c r="A45" s="19"/>
      <c r="B45" s="43" t="s">
        <v>711</v>
      </c>
      <c r="C45" s="3">
        <v>13318</v>
      </c>
      <c r="D45" s="3">
        <v>0</v>
      </c>
      <c r="E45" s="3">
        <v>0</v>
      </c>
      <c r="F45" s="43"/>
      <c r="G45" s="43"/>
      <c r="H45" s="38"/>
      <c r="I45" s="43"/>
      <c r="J45" s="51"/>
      <c r="K45" s="51"/>
      <c r="L45" s="37"/>
      <c r="M45" s="43"/>
      <c r="N45" s="43"/>
      <c r="O45" s="43"/>
      <c r="P45" s="43"/>
      <c r="Q45" s="43"/>
      <c r="R45" s="43"/>
      <c r="S45" s="43"/>
      <c r="T45" s="43"/>
      <c r="U45" s="43"/>
      <c r="V45" s="43"/>
      <c r="W45" s="43"/>
      <c r="X45" s="43"/>
      <c r="Y45" s="43"/>
      <c r="Z45" s="43"/>
    </row>
    <row r="46" spans="1:26" ht="15" customHeight="1" x14ac:dyDescent="0.25">
      <c r="A46" s="19"/>
      <c r="B46" s="43" t="s">
        <v>15</v>
      </c>
      <c r="C46" s="14">
        <v>15013</v>
      </c>
      <c r="D46" s="14">
        <v>0</v>
      </c>
      <c r="E46" s="14">
        <v>0</v>
      </c>
      <c r="F46" s="43"/>
      <c r="G46" s="43"/>
      <c r="H46" s="43"/>
      <c r="I46" s="43"/>
      <c r="J46" s="51"/>
      <c r="K46" s="51"/>
      <c r="L46" s="94"/>
      <c r="M46" s="43"/>
      <c r="N46" s="43"/>
      <c r="O46" s="43"/>
      <c r="P46" s="43"/>
      <c r="Q46" s="43"/>
      <c r="R46" s="43"/>
      <c r="S46" s="43"/>
      <c r="T46" s="43"/>
      <c r="U46" s="43"/>
      <c r="V46" s="43"/>
      <c r="W46" s="43"/>
      <c r="X46" s="43"/>
      <c r="Y46" s="43"/>
      <c r="Z46" s="43"/>
    </row>
    <row r="47" spans="1:26" ht="15" customHeight="1" x14ac:dyDescent="0.25">
      <c r="A47" s="19"/>
      <c r="B47" s="7" t="s">
        <v>16</v>
      </c>
      <c r="C47" s="14">
        <v>0</v>
      </c>
      <c r="D47" s="14">
        <v>0</v>
      </c>
      <c r="E47" s="14">
        <v>0</v>
      </c>
      <c r="F47" s="43"/>
      <c r="G47" s="43"/>
      <c r="H47" s="43"/>
      <c r="I47" s="43"/>
      <c r="J47" s="51"/>
      <c r="K47" s="51"/>
      <c r="L47" s="94"/>
      <c r="M47" s="43"/>
      <c r="N47" s="43"/>
      <c r="O47" s="43"/>
      <c r="P47" s="43"/>
      <c r="Q47" s="43"/>
      <c r="R47" s="43"/>
      <c r="S47" s="43"/>
      <c r="T47" s="43"/>
      <c r="U47" s="43"/>
      <c r="V47" s="43"/>
      <c r="W47" s="43"/>
      <c r="X47" s="43"/>
      <c r="Y47" s="43"/>
      <c r="Z47" s="43"/>
    </row>
    <row r="48" spans="1:26" ht="15" customHeight="1" x14ac:dyDescent="0.25">
      <c r="A48" s="19"/>
      <c r="B48" s="7" t="s">
        <v>16</v>
      </c>
      <c r="C48" s="14">
        <v>0</v>
      </c>
      <c r="D48" s="14">
        <v>0</v>
      </c>
      <c r="E48" s="14">
        <v>0</v>
      </c>
      <c r="F48" s="43"/>
      <c r="G48" s="43"/>
      <c r="H48" s="43"/>
      <c r="I48" s="43"/>
      <c r="J48" s="51"/>
      <c r="K48" s="51"/>
      <c r="L48" s="94"/>
      <c r="M48" s="43"/>
      <c r="N48" s="43"/>
      <c r="O48" s="43"/>
      <c r="P48" s="43"/>
      <c r="Q48" s="43"/>
      <c r="R48" s="43"/>
      <c r="S48" s="43"/>
      <c r="T48" s="43"/>
      <c r="U48" s="43"/>
      <c r="V48" s="43"/>
      <c r="W48" s="43"/>
      <c r="X48" s="43"/>
      <c r="Y48" s="43"/>
      <c r="Z48" s="43"/>
    </row>
    <row r="49" spans="1:26" ht="15" customHeight="1" x14ac:dyDescent="0.25">
      <c r="A49" s="19"/>
      <c r="B49" s="7" t="s">
        <v>16</v>
      </c>
      <c r="C49" s="14">
        <v>0</v>
      </c>
      <c r="D49" s="14">
        <v>0</v>
      </c>
      <c r="E49" s="14">
        <v>0</v>
      </c>
      <c r="F49" s="43"/>
      <c r="G49" s="43"/>
      <c r="H49" s="43"/>
      <c r="I49" s="43"/>
      <c r="J49" s="51"/>
      <c r="K49" s="51"/>
      <c r="L49" s="94"/>
      <c r="M49" s="43"/>
      <c r="N49" s="43"/>
      <c r="O49" s="43"/>
      <c r="P49" s="43"/>
      <c r="Q49" s="43"/>
      <c r="R49" s="43"/>
      <c r="S49" s="43"/>
      <c r="T49" s="43"/>
      <c r="U49" s="43"/>
      <c r="V49" s="43"/>
      <c r="W49" s="43"/>
      <c r="X49" s="43"/>
      <c r="Y49" s="43"/>
      <c r="Z49" s="43"/>
    </row>
    <row r="50" spans="1:26" ht="15" customHeight="1" x14ac:dyDescent="0.25">
      <c r="A50" s="19">
        <v>1</v>
      </c>
      <c r="B50" s="7" t="s">
        <v>16</v>
      </c>
      <c r="C50" s="14">
        <v>0</v>
      </c>
      <c r="D50" s="14">
        <v>0</v>
      </c>
      <c r="E50" s="14">
        <v>0</v>
      </c>
      <c r="F50" s="43"/>
      <c r="G50" s="43"/>
      <c r="H50" s="43"/>
      <c r="I50" s="43"/>
      <c r="J50" s="51"/>
      <c r="K50" s="51"/>
      <c r="L50" s="94"/>
      <c r="M50" s="43"/>
      <c r="N50" s="43"/>
      <c r="O50" s="43"/>
      <c r="P50" s="43"/>
      <c r="Q50" s="43"/>
      <c r="R50" s="43"/>
      <c r="S50" s="43"/>
      <c r="T50" s="43"/>
      <c r="U50" s="43"/>
      <c r="V50" s="43"/>
      <c r="W50" s="43"/>
      <c r="X50" s="43"/>
      <c r="Y50" s="43"/>
      <c r="Z50" s="43"/>
    </row>
    <row r="51" spans="1:26" ht="15" customHeight="1" x14ac:dyDescent="0.25">
      <c r="A51" s="19"/>
      <c r="B51" s="7" t="s">
        <v>16</v>
      </c>
      <c r="C51" s="14">
        <v>0</v>
      </c>
      <c r="D51" s="14">
        <v>0</v>
      </c>
      <c r="E51" s="14">
        <v>0</v>
      </c>
      <c r="F51" s="43"/>
      <c r="G51" s="43"/>
      <c r="H51" s="43"/>
      <c r="I51" s="43"/>
      <c r="J51" s="51"/>
      <c r="K51" s="51"/>
      <c r="L51" s="94"/>
      <c r="M51" s="43"/>
      <c r="N51" s="43"/>
      <c r="O51" s="43"/>
      <c r="P51" s="43"/>
      <c r="Q51" s="43"/>
      <c r="R51" s="43"/>
      <c r="S51" s="43"/>
      <c r="T51" s="43"/>
      <c r="U51" s="43"/>
      <c r="V51" s="43"/>
      <c r="W51" s="43"/>
      <c r="X51" s="43"/>
      <c r="Y51" s="43"/>
      <c r="Z51" s="43"/>
    </row>
    <row r="52" spans="1:26" ht="15" customHeight="1" x14ac:dyDescent="0.25">
      <c r="A52" s="19"/>
      <c r="B52" s="7" t="s">
        <v>16</v>
      </c>
      <c r="C52" s="14">
        <v>0</v>
      </c>
      <c r="D52" s="14">
        <v>0</v>
      </c>
      <c r="E52" s="14">
        <v>0</v>
      </c>
      <c r="F52" s="43"/>
      <c r="G52" s="43"/>
      <c r="H52" s="43"/>
      <c r="J52" s="52"/>
      <c r="K52" s="51"/>
      <c r="L52" s="94"/>
      <c r="M52" s="43"/>
      <c r="N52" s="43"/>
      <c r="O52" s="43"/>
      <c r="P52" s="43"/>
      <c r="Q52" s="43"/>
      <c r="R52" s="43"/>
      <c r="S52" s="43"/>
      <c r="T52" s="43"/>
      <c r="U52" s="43"/>
      <c r="V52" s="43"/>
      <c r="W52" s="43"/>
      <c r="X52" s="43"/>
      <c r="Y52" s="43"/>
      <c r="Z52" s="43"/>
    </row>
    <row r="53" spans="1:26" ht="15" customHeight="1" x14ac:dyDescent="0.25">
      <c r="A53" s="19"/>
      <c r="B53" s="43" t="s">
        <v>17</v>
      </c>
      <c r="C53" s="43">
        <f>SUM(C46:C52)</f>
        <v>15013</v>
      </c>
      <c r="D53" s="43">
        <f>SUM(D46:D52)</f>
        <v>0</v>
      </c>
      <c r="E53" s="43">
        <f>SUM(E46:E52)</f>
        <v>0</v>
      </c>
      <c r="F53" s="43">
        <f>SUM(F46:F52)</f>
        <v>0</v>
      </c>
      <c r="G53" s="43">
        <f>C53-D53+E53+F53</f>
        <v>15013</v>
      </c>
      <c r="H53" s="43">
        <f>C53</f>
        <v>15013</v>
      </c>
      <c r="I53" s="43">
        <f>I55-I54</f>
        <v>16172.8</v>
      </c>
      <c r="J53" s="43">
        <f t="shared" ref="J53:K53" si="1">J55-J54</f>
        <v>17152.099999999999</v>
      </c>
      <c r="K53" s="43">
        <f t="shared" si="1"/>
        <v>18628.3</v>
      </c>
      <c r="L53" s="37" t="s">
        <v>221</v>
      </c>
      <c r="M53" s="43"/>
      <c r="N53" s="43"/>
      <c r="O53" s="43"/>
      <c r="P53" s="43"/>
      <c r="Q53" s="43"/>
      <c r="R53" s="43"/>
      <c r="S53" s="43"/>
      <c r="T53" s="43"/>
      <c r="U53" s="43"/>
      <c r="V53" s="43"/>
      <c r="W53" s="43"/>
      <c r="X53" s="43"/>
      <c r="Y53" s="43"/>
      <c r="Z53" s="43"/>
    </row>
    <row r="54" spans="1:26" ht="15" customHeight="1" x14ac:dyDescent="0.25">
      <c r="A54" s="19"/>
      <c r="B54" s="43" t="s">
        <v>222</v>
      </c>
      <c r="C54" s="14">
        <v>1050</v>
      </c>
      <c r="D54" s="14">
        <v>0</v>
      </c>
      <c r="E54" s="14">
        <v>0</v>
      </c>
      <c r="F54" s="14">
        <v>0</v>
      </c>
      <c r="G54" s="43">
        <f>C54-D54+E54+F54</f>
        <v>1050</v>
      </c>
      <c r="H54" s="43">
        <f>C54</f>
        <v>1050</v>
      </c>
      <c r="I54" s="56">
        <v>1100</v>
      </c>
      <c r="J54" s="56">
        <v>1100</v>
      </c>
      <c r="K54" s="56">
        <v>1100</v>
      </c>
      <c r="L54" s="37" t="s">
        <v>221</v>
      </c>
      <c r="M54" s="43"/>
      <c r="N54" s="43"/>
      <c r="O54" s="43"/>
      <c r="P54" s="43"/>
      <c r="Q54" s="43"/>
      <c r="R54" s="43"/>
      <c r="S54" s="43"/>
      <c r="T54" s="43"/>
      <c r="U54" s="43"/>
      <c r="V54" s="43"/>
      <c r="W54" s="43"/>
      <c r="X54" s="43"/>
      <c r="Y54" s="43"/>
      <c r="Z54" s="43"/>
    </row>
    <row r="55" spans="1:26" ht="15" customHeight="1" x14ac:dyDescent="0.25">
      <c r="A55" s="19"/>
      <c r="B55" s="43" t="s">
        <v>223</v>
      </c>
      <c r="C55" s="43">
        <f>C53+C54</f>
        <v>16063</v>
      </c>
      <c r="D55" s="43">
        <f>D53+D54</f>
        <v>0</v>
      </c>
      <c r="E55" s="43">
        <f>E53+E54</f>
        <v>0</v>
      </c>
      <c r="F55" s="43"/>
      <c r="G55" s="43">
        <f>C55-D55+E55+F55</f>
        <v>16063</v>
      </c>
      <c r="H55" s="43">
        <f>C55</f>
        <v>16063</v>
      </c>
      <c r="I55" s="14">
        <v>17272.8</v>
      </c>
      <c r="J55" s="53">
        <v>18252.099999999999</v>
      </c>
      <c r="K55" s="53">
        <v>19728.3</v>
      </c>
      <c r="L55" s="37" t="s">
        <v>221</v>
      </c>
      <c r="M55" s="43"/>
      <c r="N55" s="43" t="s">
        <v>668</v>
      </c>
      <c r="O55" s="43"/>
      <c r="P55" s="43"/>
      <c r="Q55" s="43"/>
      <c r="R55" s="43"/>
      <c r="S55" s="43"/>
      <c r="T55" s="43"/>
      <c r="U55" s="43"/>
      <c r="V55" s="43"/>
      <c r="W55" s="43"/>
      <c r="X55" s="43"/>
      <c r="Y55" s="43"/>
      <c r="Z55" s="43"/>
    </row>
    <row r="56" spans="1:26" ht="15" customHeight="1" x14ac:dyDescent="0.25">
      <c r="A56" s="28"/>
      <c r="B56" s="85" t="s">
        <v>159</v>
      </c>
      <c r="C56" s="85"/>
      <c r="D56" s="110"/>
      <c r="E56" s="110"/>
      <c r="F56" s="110"/>
      <c r="G56" s="85"/>
      <c r="H56" s="151">
        <v>3</v>
      </c>
      <c r="I56" s="151">
        <v>3.23</v>
      </c>
      <c r="J56" s="151">
        <v>3.46</v>
      </c>
      <c r="K56" s="151">
        <v>3.7</v>
      </c>
      <c r="L56" s="39" t="s">
        <v>221</v>
      </c>
      <c r="M56" s="43"/>
      <c r="N56" s="43" t="s">
        <v>668</v>
      </c>
      <c r="O56" s="43"/>
      <c r="P56" s="43"/>
      <c r="Q56" s="43"/>
      <c r="R56" s="43"/>
      <c r="S56" s="43"/>
      <c r="T56" s="43"/>
      <c r="U56" s="43"/>
      <c r="V56" s="43"/>
      <c r="W56" s="43"/>
      <c r="X56" s="43"/>
      <c r="Y56" s="43"/>
      <c r="Z56" s="43"/>
    </row>
    <row r="57" spans="1:26" ht="15" customHeight="1" x14ac:dyDescent="0.25">
      <c r="A57" s="40"/>
      <c r="B57" s="43"/>
      <c r="C57" s="43"/>
      <c r="D57" s="43"/>
      <c r="E57" s="43"/>
      <c r="F57" s="43"/>
      <c r="G57" s="43"/>
      <c r="H57" s="43"/>
      <c r="I57" s="43"/>
      <c r="J57" s="43"/>
      <c r="K57" s="43"/>
      <c r="L57" s="43"/>
      <c r="M57" s="43"/>
      <c r="N57" s="43"/>
      <c r="O57" s="43"/>
      <c r="P57" s="43"/>
      <c r="Q57" s="43"/>
      <c r="R57" s="43"/>
      <c r="S57" s="43"/>
      <c r="T57" s="43"/>
      <c r="U57" s="43"/>
      <c r="V57" s="43"/>
      <c r="W57" s="43"/>
      <c r="X57" s="43"/>
      <c r="Y57" s="43"/>
      <c r="Z57" s="43"/>
    </row>
    <row r="58" spans="1:26" ht="15" customHeight="1" x14ac:dyDescent="0.3">
      <c r="A58" s="15" t="s">
        <v>224</v>
      </c>
      <c r="B58" s="29"/>
      <c r="C58" s="30"/>
      <c r="D58" s="30"/>
      <c r="E58" s="30"/>
      <c r="F58" s="30"/>
      <c r="G58" s="30"/>
      <c r="H58" s="30"/>
      <c r="I58" s="16"/>
      <c r="J58" s="30"/>
      <c r="K58" s="30"/>
      <c r="L58" s="66"/>
      <c r="M58" s="43"/>
      <c r="N58" s="43"/>
      <c r="O58" s="43"/>
      <c r="P58" s="43"/>
      <c r="Q58" s="43"/>
      <c r="R58" s="43"/>
      <c r="S58" s="43"/>
      <c r="T58" s="43"/>
      <c r="U58" s="43"/>
      <c r="V58" s="43"/>
      <c r="W58" s="43"/>
      <c r="X58" s="43"/>
      <c r="Y58" s="43"/>
      <c r="Z58" s="43"/>
    </row>
    <row r="59" spans="1:26" ht="15" customHeight="1" x14ac:dyDescent="0.25">
      <c r="A59" s="40"/>
      <c r="B59" s="43"/>
      <c r="C59" s="43" t="str">
        <f t="shared" ref="C59:L59" si="2">C42</f>
        <v>Annual</v>
      </c>
      <c r="D59" s="43" t="str">
        <f t="shared" si="2"/>
        <v>Old 10-Q/Interim</v>
      </c>
      <c r="E59" s="43" t="str">
        <f t="shared" si="2"/>
        <v>New 10-Q/interim</v>
      </c>
      <c r="F59" s="43" t="str">
        <f t="shared" si="2"/>
        <v>Other adjustments</v>
      </c>
      <c r="G59" s="43" t="str">
        <f t="shared" si="2"/>
        <v>Adj. LTM</v>
      </c>
      <c r="H59" s="43" t="str">
        <f t="shared" si="2"/>
        <v>Fiscal Year</v>
      </c>
      <c r="I59" s="43" t="str">
        <f t="shared" si="2"/>
        <v>FY +1</v>
      </c>
      <c r="J59" s="43" t="str">
        <f t="shared" si="2"/>
        <v>FY +2</v>
      </c>
      <c r="K59" s="43" t="str">
        <f t="shared" si="2"/>
        <v>FY +3</v>
      </c>
      <c r="L59" s="111" t="str">
        <f t="shared" si="2"/>
        <v>FY +4</v>
      </c>
      <c r="M59" s="43"/>
      <c r="N59" s="43"/>
      <c r="O59" s="43"/>
      <c r="P59" s="43"/>
      <c r="Q59" s="43"/>
      <c r="R59" s="43"/>
      <c r="S59" s="43"/>
      <c r="T59" s="43"/>
      <c r="U59" s="43"/>
      <c r="V59" s="43"/>
      <c r="W59" s="43"/>
      <c r="X59" s="43"/>
      <c r="Y59" s="43"/>
      <c r="Z59" s="43"/>
    </row>
    <row r="60" spans="1:26" ht="15" customHeight="1" x14ac:dyDescent="0.25">
      <c r="A60" s="40"/>
      <c r="B60" s="43"/>
      <c r="C60" s="112">
        <f>C43</f>
        <v>46022</v>
      </c>
      <c r="D60" s="112">
        <f>D43</f>
        <v>0</v>
      </c>
      <c r="E60" s="112">
        <f>E43</f>
        <v>0</v>
      </c>
      <c r="F60" s="43"/>
      <c r="G60" s="112">
        <f>C13</f>
        <v>46022</v>
      </c>
      <c r="H60" s="109">
        <f>C60</f>
        <v>46022</v>
      </c>
      <c r="I60" s="109">
        <f>EDATE(C60,12)</f>
        <v>46387</v>
      </c>
      <c r="J60" s="109">
        <f>EDATE(I60,12)</f>
        <v>46752</v>
      </c>
      <c r="K60" s="112">
        <f>EDATE(J60,12)</f>
        <v>47118</v>
      </c>
      <c r="L60" s="113">
        <f>EDATE(K60,12)</f>
        <v>47483</v>
      </c>
      <c r="M60" s="43"/>
      <c r="N60" s="43"/>
      <c r="O60" s="43"/>
      <c r="P60" s="43"/>
      <c r="Q60" s="43"/>
      <c r="R60" s="43"/>
      <c r="S60" s="43"/>
      <c r="T60" s="43"/>
      <c r="U60" s="43"/>
      <c r="V60" s="43"/>
      <c r="W60" s="43"/>
      <c r="X60" s="43"/>
      <c r="Y60" s="43"/>
      <c r="Z60" s="43"/>
    </row>
    <row r="61" spans="1:26" ht="15" customHeight="1" x14ac:dyDescent="0.25">
      <c r="A61" s="40"/>
      <c r="B61" s="43" t="s">
        <v>225</v>
      </c>
      <c r="C61" s="65">
        <v>0.33300000000000002</v>
      </c>
      <c r="D61" s="43"/>
      <c r="E61" s="43"/>
      <c r="F61" s="43"/>
      <c r="G61" s="43"/>
      <c r="H61" s="43"/>
      <c r="I61" s="43"/>
      <c r="J61" s="43"/>
      <c r="K61" s="43"/>
      <c r="L61" s="111"/>
      <c r="M61" s="43"/>
      <c r="N61" s="43"/>
      <c r="O61" s="43"/>
      <c r="P61" s="43"/>
      <c r="Q61" s="43"/>
      <c r="R61" s="43"/>
      <c r="S61" s="43"/>
      <c r="T61" s="43"/>
      <c r="U61" s="43"/>
      <c r="V61" s="43"/>
      <c r="W61" s="43"/>
      <c r="X61" s="43"/>
      <c r="Y61" s="43"/>
      <c r="Z61" s="43"/>
    </row>
    <row r="62" spans="1:26" ht="15" customHeight="1" x14ac:dyDescent="0.25">
      <c r="A62" s="40"/>
      <c r="B62" s="43" t="s">
        <v>226</v>
      </c>
      <c r="C62" s="70">
        <v>389</v>
      </c>
      <c r="D62" s="70">
        <v>0</v>
      </c>
      <c r="E62" s="70">
        <v>0</v>
      </c>
      <c r="F62" s="43"/>
      <c r="G62" s="43">
        <f>C62-D62+E62+F62</f>
        <v>389</v>
      </c>
      <c r="H62" s="43">
        <f>C62</f>
        <v>389</v>
      </c>
      <c r="I62" s="43">
        <f>H62/H44*I44</f>
        <v>396.63237068786157</v>
      </c>
      <c r="J62" s="43">
        <f>I62/I44*J44</f>
        <v>403.26678665057636</v>
      </c>
      <c r="K62" s="43">
        <f>J62/J44*K44</f>
        <v>425.15137530689526</v>
      </c>
      <c r="L62" s="37" t="s">
        <v>221</v>
      </c>
      <c r="M62" s="43"/>
      <c r="N62" s="43"/>
      <c r="O62" s="43"/>
      <c r="P62" s="43"/>
      <c r="Q62" s="43"/>
      <c r="R62" s="43"/>
      <c r="S62" s="43"/>
      <c r="T62" s="43"/>
      <c r="U62" s="43"/>
      <c r="V62" s="43"/>
      <c r="W62" s="43"/>
      <c r="X62" s="43"/>
      <c r="Y62" s="43"/>
      <c r="Z62" s="43"/>
    </row>
    <row r="63" spans="1:26" ht="15" customHeight="1" x14ac:dyDescent="0.25">
      <c r="A63" s="40"/>
      <c r="B63" s="43" t="s">
        <v>227</v>
      </c>
      <c r="C63" s="43">
        <f>C55+C62</f>
        <v>16452</v>
      </c>
      <c r="D63" s="43">
        <f>D55+D62</f>
        <v>0</v>
      </c>
      <c r="E63" s="43">
        <f>E55+E62</f>
        <v>0</v>
      </c>
      <c r="F63" s="43"/>
      <c r="G63" s="43">
        <f>C63-D63+E63+F63</f>
        <v>16452</v>
      </c>
      <c r="H63" s="43">
        <f>C63</f>
        <v>16452</v>
      </c>
      <c r="I63" s="43">
        <f>I55+I62</f>
        <v>17669.43237068786</v>
      </c>
      <c r="J63" s="43">
        <f>J55+J62</f>
        <v>18655.366786650575</v>
      </c>
      <c r="K63" s="43">
        <f>K55+K62</f>
        <v>20153.451375306893</v>
      </c>
      <c r="L63" s="37" t="s">
        <v>221</v>
      </c>
      <c r="M63" s="43"/>
      <c r="N63" s="43"/>
      <c r="O63" s="43"/>
      <c r="P63" s="43"/>
      <c r="Q63" s="43"/>
      <c r="R63" s="43"/>
      <c r="S63" s="43"/>
      <c r="T63" s="43"/>
      <c r="U63" s="43"/>
      <c r="V63" s="43"/>
      <c r="W63" s="43"/>
      <c r="X63" s="43"/>
      <c r="Y63" s="43"/>
      <c r="Z63" s="43"/>
    </row>
    <row r="64" spans="1:26" ht="15" customHeight="1" x14ac:dyDescent="0.25">
      <c r="A64" s="40"/>
      <c r="B64" s="43" t="s">
        <v>228</v>
      </c>
      <c r="C64" s="43">
        <f>C53+$C$61*C62</f>
        <v>15142.537</v>
      </c>
      <c r="D64" s="43">
        <f>D53+$C$61*D62</f>
        <v>0</v>
      </c>
      <c r="E64" s="43">
        <f>E53+$C$61*E62</f>
        <v>0</v>
      </c>
      <c r="F64" s="43"/>
      <c r="G64" s="43">
        <f>C64-D64+E64+F64</f>
        <v>15142.537</v>
      </c>
      <c r="H64" s="43">
        <f>C64</f>
        <v>15142.537</v>
      </c>
      <c r="I64" s="43">
        <f>I53+$C$61*I62</f>
        <v>16304.878579439057</v>
      </c>
      <c r="J64" s="43">
        <f>J53+$C$61*J62</f>
        <v>17286.387839954641</v>
      </c>
      <c r="K64" s="43">
        <f>K53+$C$61*K62</f>
        <v>18769.875407977197</v>
      </c>
      <c r="L64" s="37" t="s">
        <v>221</v>
      </c>
      <c r="M64" s="43"/>
      <c r="N64" s="43"/>
      <c r="O64" s="43"/>
      <c r="P64" s="43"/>
      <c r="Q64" s="43"/>
      <c r="R64" s="43"/>
      <c r="S64" s="43"/>
      <c r="T64" s="43"/>
      <c r="U64" s="43"/>
      <c r="V64" s="43"/>
      <c r="W64" s="43"/>
      <c r="X64" s="43"/>
      <c r="Y64" s="43"/>
      <c r="Z64" s="43"/>
    </row>
    <row r="65" spans="1:26" ht="15" customHeight="1" x14ac:dyDescent="0.25">
      <c r="A65" s="40"/>
      <c r="B65" s="43" t="s">
        <v>229</v>
      </c>
      <c r="C65" s="43"/>
      <c r="D65" s="43"/>
      <c r="E65" s="43"/>
      <c r="F65" s="43"/>
      <c r="G65" s="70">
        <v>1722</v>
      </c>
      <c r="H65" s="43"/>
      <c r="I65" s="43"/>
      <c r="J65" s="43"/>
      <c r="K65" s="43"/>
      <c r="L65" s="111"/>
      <c r="M65" s="43"/>
      <c r="N65" s="43"/>
      <c r="O65" s="43"/>
      <c r="P65" s="43"/>
      <c r="Q65" s="43"/>
      <c r="R65" s="43"/>
      <c r="S65" s="43"/>
      <c r="T65" s="43"/>
      <c r="U65" s="43"/>
      <c r="V65" s="43"/>
      <c r="W65" s="43"/>
      <c r="X65" s="43"/>
      <c r="Y65" s="43"/>
      <c r="Z65" s="43"/>
    </row>
    <row r="66" spans="1:26" ht="15" customHeight="1" x14ac:dyDescent="0.25">
      <c r="A66" s="40"/>
      <c r="B66" s="43"/>
      <c r="C66" s="43"/>
      <c r="D66" s="43"/>
      <c r="E66" s="43"/>
      <c r="F66" s="43"/>
      <c r="G66" s="43"/>
      <c r="H66" s="43"/>
      <c r="I66" s="43"/>
      <c r="J66" s="43"/>
      <c r="K66" s="43"/>
      <c r="L66" s="111"/>
      <c r="M66" s="43"/>
      <c r="N66" s="43"/>
      <c r="O66" s="43"/>
      <c r="P66" s="43"/>
      <c r="Q66" s="43"/>
      <c r="R66" s="43"/>
      <c r="S66" s="43"/>
      <c r="T66" s="43"/>
      <c r="U66" s="43"/>
      <c r="V66" s="43"/>
      <c r="W66" s="43"/>
      <c r="X66" s="43"/>
      <c r="Y66" s="43"/>
      <c r="Z66" s="43"/>
    </row>
    <row r="67" spans="1:26" ht="15" customHeight="1" x14ac:dyDescent="0.25">
      <c r="A67" s="40"/>
      <c r="B67" s="43" t="str">
        <f>"Calendarized EBITDAR in "&amp;MAIN_CURRENCY&amp;" MM"</f>
        <v>Calendarized EBITDAR in USD MM</v>
      </c>
      <c r="C67" s="43"/>
      <c r="D67" s="43"/>
      <c r="E67" s="43"/>
      <c r="F67" s="43"/>
      <c r="G67" s="43">
        <f>G63*COMP_FX</f>
        <v>16452</v>
      </c>
      <c r="H67" s="43"/>
      <c r="I67" s="43">
        <f>IF(I$80&gt;0,SUMPRODUCT('1'!COMP_CALENDARIZE_PERCENTAGES,H63:J63)*I$81*'1'!COMP_FX,"N/A")</f>
        <v>17669.43237068786</v>
      </c>
      <c r="J67" s="43">
        <f>IF(J$80&gt;0,SUMPRODUCT('1'!COMP_CALENDARIZE_PERCENTAGES,I63:K63)*J$81*'1'!COMP_FX,"N/A")</f>
        <v>18655.366786650575</v>
      </c>
      <c r="K67" s="43">
        <f>IF(K$80&gt;0,SUMPRODUCT('1'!COMP_CALENDARIZE_PERCENTAGES,J63:L63)*K$81*'1'!COMP_FX,"N/A")</f>
        <v>20153.451375306893</v>
      </c>
      <c r="L67" s="111"/>
      <c r="M67" s="43"/>
      <c r="N67" s="43"/>
      <c r="O67" s="43"/>
      <c r="P67" s="43"/>
      <c r="Q67" s="43"/>
      <c r="R67" s="43"/>
      <c r="S67" s="43"/>
      <c r="T67" s="43"/>
      <c r="U67" s="43"/>
      <c r="V67" s="43"/>
      <c r="W67" s="43"/>
      <c r="X67" s="43"/>
      <c r="Y67" s="43"/>
      <c r="Z67" s="43"/>
    </row>
    <row r="68" spans="1:26" ht="15" customHeight="1" x14ac:dyDescent="0.25">
      <c r="A68" s="40"/>
      <c r="B68" s="43" t="str">
        <f>"Calendarized EBITR in "&amp;MAIN_CURRENCY&amp;" MM"</f>
        <v>Calendarized EBITR in USD MM</v>
      </c>
      <c r="C68" s="43"/>
      <c r="D68" s="43"/>
      <c r="E68" s="43"/>
      <c r="F68" s="43"/>
      <c r="G68" s="43">
        <f>G64*COMP_FX</f>
        <v>15142.537</v>
      </c>
      <c r="H68" s="43"/>
      <c r="I68" s="43">
        <f>IF(I$80&gt;0,SUMPRODUCT('1'!COMP_CALENDARIZE_PERCENTAGES,H64:J64)*I$81*'1'!COMP_FX,"N/A")</f>
        <v>16304.878579439057</v>
      </c>
      <c r="J68" s="43">
        <f>IF(J$80&gt;0,SUMPRODUCT('1'!COMP_CALENDARIZE_PERCENTAGES,I64:K64)*J$81*'1'!COMP_FX,"N/A")</f>
        <v>17286.387839954641</v>
      </c>
      <c r="K68" s="43">
        <f>IF(K$80&gt;0,SUMPRODUCT('1'!COMP_CALENDARIZE_PERCENTAGES,J64:L64)*K$81*'1'!COMP_FX,"N/A")</f>
        <v>18769.875407977197</v>
      </c>
      <c r="L68" s="111"/>
      <c r="M68" s="43"/>
      <c r="N68" s="43"/>
      <c r="O68" s="43"/>
      <c r="P68" s="43"/>
      <c r="Q68" s="43"/>
      <c r="R68" s="43"/>
      <c r="S68" s="43"/>
      <c r="T68" s="43"/>
      <c r="U68" s="43"/>
      <c r="V68" s="43"/>
      <c r="W68" s="43"/>
      <c r="X68" s="43"/>
      <c r="Y68" s="43"/>
      <c r="Z68" s="43"/>
    </row>
    <row r="69" spans="1:26" ht="15" customHeight="1" x14ac:dyDescent="0.25">
      <c r="A69" s="40"/>
      <c r="B69" s="43" t="str">
        <f>"Operating lease liabilities in "&amp;MAIN_CURRENCY&amp;" MM"</f>
        <v>Operating lease liabilities in USD MM</v>
      </c>
      <c r="C69" s="43"/>
      <c r="D69" s="43"/>
      <c r="E69" s="43"/>
      <c r="F69" s="43"/>
      <c r="G69" s="43">
        <f>G65*COMP_FX</f>
        <v>1722</v>
      </c>
      <c r="H69" s="43"/>
      <c r="I69" s="43"/>
      <c r="J69" s="43"/>
      <c r="K69" s="43"/>
      <c r="L69" s="111"/>
      <c r="M69" s="43"/>
      <c r="N69" s="43"/>
      <c r="O69" s="43"/>
      <c r="P69" s="43"/>
      <c r="Q69" s="43"/>
      <c r="R69" s="43"/>
      <c r="S69" s="43"/>
      <c r="T69" s="43"/>
      <c r="U69" s="43"/>
      <c r="V69" s="43"/>
      <c r="W69" s="43"/>
      <c r="X69" s="43"/>
      <c r="Y69" s="43"/>
      <c r="Z69" s="43"/>
    </row>
    <row r="70" spans="1:26" ht="15" customHeight="1" x14ac:dyDescent="0.25">
      <c r="A70" s="40"/>
      <c r="B70" s="43"/>
      <c r="C70" s="43"/>
      <c r="D70" s="43"/>
      <c r="E70" s="43"/>
      <c r="F70" s="43"/>
      <c r="G70" s="43"/>
      <c r="H70" s="43"/>
      <c r="I70" s="43"/>
      <c r="J70" s="43"/>
      <c r="K70" s="43"/>
      <c r="L70" s="111"/>
      <c r="M70" s="43"/>
      <c r="N70" s="43"/>
      <c r="O70" s="43"/>
      <c r="P70" s="43"/>
      <c r="Q70" s="43"/>
      <c r="R70" s="43"/>
      <c r="S70" s="43"/>
      <c r="T70" s="43"/>
      <c r="U70" s="43"/>
      <c r="V70" s="43"/>
      <c r="W70" s="43"/>
      <c r="X70" s="43"/>
      <c r="Y70" s="43"/>
      <c r="Z70" s="43"/>
    </row>
    <row r="71" spans="1:26" ht="15" customHeight="1" x14ac:dyDescent="0.25">
      <c r="A71" s="40"/>
      <c r="B71" s="43" t="str">
        <f>"EVR in "&amp;MAIN_CURRENCY&amp;" MM"</f>
        <v>EVR in USD MM</v>
      </c>
      <c r="C71" s="43"/>
      <c r="D71" s="43"/>
      <c r="E71" s="43"/>
      <c r="F71" s="43"/>
      <c r="G71" s="43">
        <f>COMP_EV+(G69*COMP_FX)</f>
        <v>357870.76486895996</v>
      </c>
      <c r="H71" s="43"/>
      <c r="I71" s="43"/>
      <c r="J71" s="43"/>
      <c r="K71" s="43"/>
      <c r="L71" s="111"/>
      <c r="M71" s="43"/>
      <c r="N71" s="43"/>
      <c r="O71" s="43"/>
      <c r="P71" s="43"/>
      <c r="Q71" s="43"/>
      <c r="R71" s="43"/>
      <c r="S71" s="43"/>
      <c r="T71" s="43"/>
      <c r="U71" s="43"/>
      <c r="V71" s="43"/>
      <c r="W71" s="43"/>
      <c r="X71" s="43"/>
      <c r="Y71" s="43"/>
      <c r="Z71" s="43"/>
    </row>
    <row r="72" spans="1:26" ht="15" customHeight="1" x14ac:dyDescent="0.25">
      <c r="A72" s="40"/>
      <c r="B72" s="43" t="s">
        <v>230</v>
      </c>
      <c r="C72" s="43"/>
      <c r="D72" s="43"/>
      <c r="E72" s="43"/>
      <c r="F72" s="43"/>
      <c r="G72" s="114">
        <f>IF(ISNUMBER(G67),EVR/G67,"N/A")</f>
        <v>21.752417023398976</v>
      </c>
      <c r="H72" s="114"/>
      <c r="I72" s="114">
        <f t="shared" ref="I72:K73" si="3">IF(ISNUMBER(I67),EVR/I67,"N/A")</f>
        <v>20.253665050533158</v>
      </c>
      <c r="J72" s="114">
        <f t="shared" si="3"/>
        <v>19.183260718574854</v>
      </c>
      <c r="K72" s="114">
        <f t="shared" si="3"/>
        <v>17.757294182744438</v>
      </c>
      <c r="L72" s="37" t="s">
        <v>221</v>
      </c>
      <c r="M72" s="43"/>
      <c r="N72" s="43"/>
      <c r="O72" s="43"/>
      <c r="P72" s="43"/>
      <c r="Q72" s="43"/>
      <c r="R72" s="43"/>
      <c r="S72" s="43"/>
      <c r="T72" s="43"/>
      <c r="U72" s="43"/>
      <c r="V72" s="43"/>
      <c r="W72" s="43"/>
      <c r="X72" s="43"/>
      <c r="Y72" s="43"/>
      <c r="Z72" s="43"/>
    </row>
    <row r="73" spans="1:26" ht="15" customHeight="1" x14ac:dyDescent="0.25">
      <c r="A73" s="40"/>
      <c r="B73" s="43" t="s">
        <v>231</v>
      </c>
      <c r="C73" s="43"/>
      <c r="D73" s="43"/>
      <c r="E73" s="43"/>
      <c r="F73" s="43"/>
      <c r="G73" s="114">
        <f>IF(ISNUMBER(G68),EVR/G68,"N/A")</f>
        <v>23.633474685844252</v>
      </c>
      <c r="H73" s="114"/>
      <c r="I73" s="114">
        <f t="shared" si="3"/>
        <v>21.94869241898224</v>
      </c>
      <c r="J73" s="114">
        <f t="shared" si="3"/>
        <v>20.702460698110716</v>
      </c>
      <c r="K73" s="114">
        <f t="shared" si="3"/>
        <v>19.066230174168599</v>
      </c>
      <c r="L73" s="37" t="s">
        <v>221</v>
      </c>
      <c r="M73" s="43"/>
      <c r="N73" s="43"/>
      <c r="O73" s="43"/>
      <c r="P73" s="43"/>
      <c r="Q73" s="43"/>
      <c r="R73" s="43"/>
      <c r="S73" s="43"/>
      <c r="T73" s="43"/>
      <c r="U73" s="43"/>
      <c r="V73" s="43"/>
      <c r="W73" s="43"/>
      <c r="X73" s="43"/>
      <c r="Y73" s="43"/>
      <c r="Z73" s="43"/>
    </row>
    <row r="74" spans="1:26" ht="15" customHeight="1" x14ac:dyDescent="0.25">
      <c r="A74" s="67"/>
      <c r="B74" s="115"/>
      <c r="C74" s="115"/>
      <c r="D74" s="115"/>
      <c r="E74" s="115"/>
      <c r="F74" s="115"/>
      <c r="G74" s="115"/>
      <c r="H74" s="115"/>
      <c r="I74" s="115"/>
      <c r="J74" s="115"/>
      <c r="K74" s="115"/>
      <c r="L74" s="116"/>
      <c r="M74" s="43"/>
      <c r="N74" s="43"/>
      <c r="O74" s="43"/>
      <c r="P74" s="43"/>
      <c r="Q74" s="43"/>
      <c r="R74" s="43"/>
      <c r="S74" s="43"/>
      <c r="T74" s="43"/>
      <c r="U74" s="43"/>
      <c r="V74" s="43"/>
      <c r="W74" s="43"/>
      <c r="X74" s="43"/>
      <c r="Y74" s="43"/>
      <c r="Z74" s="43"/>
    </row>
    <row r="75" spans="1:26" ht="15" customHeight="1" x14ac:dyDescent="0.25">
      <c r="A75" s="43"/>
      <c r="B75" s="43"/>
      <c r="C75" s="43"/>
      <c r="D75" s="43"/>
      <c r="E75" s="43"/>
      <c r="F75" s="43"/>
      <c r="G75" s="43"/>
      <c r="H75" s="43"/>
      <c r="I75" s="43"/>
      <c r="J75" s="43"/>
      <c r="K75" s="43"/>
      <c r="L75" s="43"/>
      <c r="M75" s="43"/>
      <c r="N75" s="43"/>
      <c r="O75" s="43"/>
      <c r="P75" s="43"/>
      <c r="Q75" s="43"/>
      <c r="R75" s="43"/>
      <c r="S75" s="43"/>
      <c r="T75" s="43"/>
      <c r="U75" s="43"/>
      <c r="V75" s="43"/>
      <c r="W75" s="43"/>
      <c r="X75" s="43"/>
      <c r="Y75" s="43"/>
      <c r="Z75" s="43"/>
    </row>
    <row r="76" spans="1:26" ht="15" customHeight="1" x14ac:dyDescent="0.25">
      <c r="A76" s="9"/>
      <c r="E76" s="15" t="s">
        <v>232</v>
      </c>
      <c r="F76" s="16"/>
      <c r="G76" s="16"/>
      <c r="H76" s="16"/>
      <c r="I76" s="16"/>
      <c r="J76" s="16"/>
      <c r="K76" s="16"/>
      <c r="L76" s="17"/>
      <c r="M76" s="43"/>
      <c r="N76" s="43"/>
      <c r="O76" s="43"/>
      <c r="P76" s="43"/>
      <c r="Q76" s="43"/>
      <c r="R76" s="43"/>
      <c r="S76" s="43"/>
      <c r="T76" s="43"/>
      <c r="U76" s="43"/>
      <c r="V76" s="43"/>
      <c r="W76" s="43"/>
      <c r="X76" s="43"/>
      <c r="Y76" s="43"/>
      <c r="Z76" s="43"/>
    </row>
    <row r="77" spans="1:26" ht="15" customHeight="1" x14ac:dyDescent="0.25">
      <c r="A77" s="9"/>
      <c r="E77" s="90"/>
      <c r="F77" s="43"/>
      <c r="G77" s="43"/>
      <c r="H77" s="43"/>
      <c r="I77" s="43"/>
      <c r="J77" s="43"/>
      <c r="K77" s="43"/>
      <c r="L77" s="91"/>
      <c r="M77" s="43"/>
      <c r="N77" s="43"/>
      <c r="O77" s="43"/>
      <c r="P77" s="43"/>
      <c r="Q77" s="43"/>
      <c r="R77" s="43"/>
      <c r="S77" s="43"/>
      <c r="T77" s="43"/>
      <c r="U77" s="43"/>
      <c r="V77" s="43"/>
      <c r="W77" s="43"/>
      <c r="X77" s="43"/>
      <c r="Y77" s="43"/>
      <c r="Z77" s="43"/>
    </row>
    <row r="78" spans="1:26" ht="15" customHeight="1" x14ac:dyDescent="0.25">
      <c r="A78" s="9"/>
      <c r="E78" s="90" t="s">
        <v>233</v>
      </c>
      <c r="F78" s="43"/>
      <c r="G78" s="109">
        <f>C11</f>
        <v>46022</v>
      </c>
      <c r="H78" s="43"/>
      <c r="I78" s="62" t="s">
        <v>234</v>
      </c>
      <c r="J78" s="62" t="s">
        <v>235</v>
      </c>
      <c r="K78" s="62" t="s">
        <v>236</v>
      </c>
      <c r="L78" s="91"/>
      <c r="M78" s="43"/>
      <c r="N78" s="43"/>
      <c r="O78" s="43"/>
      <c r="P78" s="43"/>
      <c r="Q78" s="43"/>
      <c r="R78" s="43"/>
      <c r="S78" s="43"/>
      <c r="T78" s="43"/>
      <c r="U78" s="43"/>
      <c r="V78" s="43"/>
      <c r="W78" s="43"/>
      <c r="X78" s="43"/>
      <c r="Y78" s="43"/>
      <c r="Z78" s="43"/>
    </row>
    <row r="79" spans="1:26" ht="15" customHeight="1" x14ac:dyDescent="0.25">
      <c r="A79" s="9"/>
      <c r="E79" s="90" t="s">
        <v>145</v>
      </c>
      <c r="F79" s="43"/>
      <c r="G79" s="109">
        <f>C8</f>
        <v>46022</v>
      </c>
      <c r="H79" s="43"/>
      <c r="I79" s="117">
        <f>-MIN((G79-G78)/365,0)</f>
        <v>0</v>
      </c>
      <c r="J79" s="117">
        <f>1-I79-K79</f>
        <v>1</v>
      </c>
      <c r="K79" s="117">
        <f>MAX((G79-G78)/365,0)</f>
        <v>0</v>
      </c>
      <c r="L79" s="91"/>
      <c r="M79" s="43"/>
      <c r="N79" s="43"/>
      <c r="O79" s="43"/>
      <c r="P79" s="43"/>
      <c r="Q79" s="43"/>
      <c r="R79" s="43"/>
      <c r="S79" s="43"/>
      <c r="T79" s="43"/>
      <c r="U79" s="43"/>
      <c r="V79" s="43"/>
      <c r="W79" s="43"/>
      <c r="X79" s="43"/>
      <c r="Y79" s="43"/>
      <c r="Z79" s="43"/>
    </row>
    <row r="80" spans="1:26" ht="15" customHeight="1" x14ac:dyDescent="0.25">
      <c r="A80" s="9"/>
      <c r="E80" s="90" t="s">
        <v>237</v>
      </c>
      <c r="F80" s="43"/>
      <c r="G80" s="43"/>
      <c r="H80" s="43"/>
      <c r="I80" s="43">
        <f>IF(SUMPRODUCT('1'!COMP_CALENDARIZE_PERCENTAGES,H81:J81)=1,1,0)</f>
        <v>1</v>
      </c>
      <c r="J80" s="43">
        <f>IF(SUMPRODUCT('1'!COMP_CALENDARIZE_PERCENTAGES,I81:K81)=1,1,0)</f>
        <v>1</v>
      </c>
      <c r="K80" s="43">
        <f>IF(SUMPRODUCT('1'!COMP_CALENDARIZE_PERCENTAGES,J81:L81)=1,1,0)</f>
        <v>1</v>
      </c>
      <c r="L80" s="91">
        <f>IF(SUMPRODUCT('1'!COMP_CALENDARIZE_PERCENTAGES,K81:M81)=1,1,0)</f>
        <v>0</v>
      </c>
      <c r="M80" s="43"/>
      <c r="N80" s="43"/>
      <c r="O80" s="43"/>
      <c r="P80" s="43"/>
      <c r="Q80" s="43"/>
      <c r="R80" s="43"/>
      <c r="S80" s="43"/>
      <c r="T80" s="43"/>
      <c r="U80" s="43"/>
      <c r="V80" s="43"/>
      <c r="W80" s="43"/>
      <c r="X80" s="43"/>
      <c r="Y80" s="43"/>
      <c r="Z80" s="43"/>
    </row>
    <row r="81" spans="1:26" ht="15" customHeight="1" x14ac:dyDescent="0.25">
      <c r="A81" s="9"/>
      <c r="E81" s="99" t="s">
        <v>238</v>
      </c>
      <c r="F81" s="85"/>
      <c r="G81" s="85"/>
      <c r="H81" s="85">
        <f>IF(OR(H44=0,H44="N/A"),0,1)</f>
        <v>1</v>
      </c>
      <c r="I81" s="85">
        <f>IF(OR(I44=0,I44="N/A"),0,1)</f>
        <v>1</v>
      </c>
      <c r="J81" s="85">
        <f>IF(OR(J44=0,J44="N/A"),0,1)</f>
        <v>1</v>
      </c>
      <c r="K81" s="85">
        <f>IF(OR(K44=0,K44="N/A"),0,1)</f>
        <v>1</v>
      </c>
      <c r="L81" s="96">
        <f>IF(OR(L44=0,L44="N/A"),0,1)</f>
        <v>0</v>
      </c>
      <c r="M81" s="43"/>
      <c r="N81" s="43"/>
      <c r="O81" s="43"/>
      <c r="P81" s="43"/>
      <c r="Q81" s="43"/>
      <c r="R81" s="43"/>
      <c r="S81" s="43"/>
      <c r="T81" s="43"/>
      <c r="U81" s="43"/>
      <c r="V81" s="43"/>
      <c r="W81" s="43"/>
      <c r="X81" s="43"/>
      <c r="Y81" s="43"/>
      <c r="Z81" s="43"/>
    </row>
    <row r="82" spans="1:26" ht="15" customHeight="1" x14ac:dyDescent="0.25">
      <c r="A82" s="9"/>
      <c r="E82" s="43"/>
      <c r="F82" s="43"/>
      <c r="G82" s="43"/>
      <c r="H82" s="43"/>
      <c r="I82" s="43"/>
      <c r="J82" s="43"/>
      <c r="K82" s="43"/>
      <c r="L82" s="43"/>
      <c r="M82" s="43"/>
      <c r="N82" s="43"/>
      <c r="O82" s="43"/>
      <c r="P82" s="43"/>
      <c r="Q82" s="43"/>
      <c r="R82" s="43"/>
      <c r="S82" s="43"/>
      <c r="T82" s="43"/>
      <c r="U82" s="43"/>
      <c r="V82" s="43"/>
      <c r="W82" s="43"/>
      <c r="X82" s="43"/>
    </row>
    <row r="83" spans="1:26" ht="15" customHeight="1" x14ac:dyDescent="0.25">
      <c r="A83" s="9" t="s">
        <v>38</v>
      </c>
    </row>
  </sheetData>
  <printOptions gridLines="1"/>
  <pageMargins left="0.31496062992125984" right="0.11811023622047245" top="0.74803149606299213" bottom="0.74803149606299213" header="0" footer="0"/>
  <pageSetup paperSize="9" scale="45" fitToHeight="0" orientation="landscape" r:id="rId1"/>
  <headerFooter>
    <oddHeader>&amp;R&amp;F  &amp;A</oddHeader>
    <oddFooter>&amp;L© 2016&amp;CPage &amp;P of</oddFooter>
  </headerFooter>
  <rowBreaks count="1" manualBreakCount="1">
    <brk id="57" max="21" man="1"/>
  </rowBreaks>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791B72-D4C7-45E0-91FB-8F578694C7F2}">
  <sheetPr>
    <tabColor theme="4"/>
    <pageSetUpPr fitToPage="1"/>
  </sheetPr>
  <dimension ref="A1:Z83"/>
  <sheetViews>
    <sheetView zoomScaleNormal="100" zoomScaleSheetLayoutView="85" workbookViewId="0"/>
  </sheetViews>
  <sheetFormatPr defaultColWidth="12.5703125" defaultRowHeight="15" customHeight="1" x14ac:dyDescent="0.25"/>
  <cols>
    <col min="1" max="1" width="1.5703125" customWidth="1"/>
    <col min="2" max="2" width="50.5703125" customWidth="1"/>
    <col min="3" max="3" width="20.5703125" customWidth="1"/>
    <col min="4" max="4" width="21.85546875" customWidth="1"/>
    <col min="5" max="5" width="15.5703125" customWidth="1"/>
    <col min="6" max="12" width="11" customWidth="1"/>
    <col min="13" max="13" width="20.5703125" bestFit="1" customWidth="1"/>
    <col min="14" max="16" width="11" customWidth="1"/>
    <col min="17" max="26" width="12.5703125" customWidth="1"/>
  </cols>
  <sheetData>
    <row r="1" spans="1:26" ht="30" customHeight="1" x14ac:dyDescent="0.45">
      <c r="A1" s="180" t="s">
        <v>12</v>
      </c>
      <c r="B1" s="72"/>
      <c r="C1" s="72"/>
      <c r="D1" s="72"/>
      <c r="E1" s="72"/>
      <c r="F1" s="72"/>
      <c r="G1" s="72"/>
      <c r="H1" s="72"/>
      <c r="I1" s="72"/>
      <c r="J1" s="72"/>
      <c r="K1" s="72"/>
      <c r="L1" s="72"/>
      <c r="M1" s="72"/>
      <c r="N1" s="72"/>
      <c r="O1" s="72"/>
      <c r="P1" s="72"/>
      <c r="Q1" s="12"/>
      <c r="R1" s="12"/>
      <c r="S1" s="12"/>
      <c r="T1" s="12"/>
      <c r="U1" s="12"/>
      <c r="V1" s="12"/>
      <c r="W1" s="12"/>
      <c r="X1" s="12"/>
      <c r="Y1" s="12"/>
      <c r="Z1" s="12"/>
    </row>
    <row r="2" spans="1:26" ht="15" customHeight="1" x14ac:dyDescent="0.3">
      <c r="A2" s="43"/>
      <c r="B2" s="43"/>
      <c r="C2" s="13"/>
      <c r="D2" s="43"/>
      <c r="E2" s="43" t="s">
        <v>135</v>
      </c>
      <c r="F2" s="13"/>
      <c r="G2" s="14" t="s">
        <v>650</v>
      </c>
      <c r="H2" s="14"/>
      <c r="I2" s="43"/>
      <c r="J2" s="43"/>
      <c r="K2" s="43"/>
      <c r="L2" s="43"/>
      <c r="M2" s="43"/>
      <c r="N2" s="43"/>
      <c r="O2" s="13"/>
      <c r="P2" s="13"/>
      <c r="Q2" s="13"/>
      <c r="R2" s="13"/>
      <c r="S2" s="13"/>
      <c r="T2" s="13"/>
      <c r="U2" s="13"/>
      <c r="V2" s="13"/>
      <c r="W2" s="13"/>
      <c r="X2" s="13"/>
      <c r="Y2" s="13"/>
      <c r="Z2" s="13"/>
    </row>
    <row r="3" spans="1:26" ht="15" customHeight="1" x14ac:dyDescent="0.3">
      <c r="A3" s="43"/>
      <c r="B3" s="43"/>
      <c r="C3" s="13"/>
      <c r="D3" s="43"/>
      <c r="E3" s="43"/>
      <c r="F3" s="43"/>
      <c r="G3" s="13"/>
      <c r="H3" s="13"/>
      <c r="I3" s="13"/>
      <c r="J3" s="13"/>
      <c r="K3" s="13"/>
      <c r="L3" s="13"/>
      <c r="M3" s="13"/>
      <c r="N3" s="13"/>
      <c r="O3" s="13"/>
      <c r="P3" s="13"/>
      <c r="Q3" s="13"/>
      <c r="R3" s="13"/>
      <c r="S3" s="13"/>
      <c r="T3" s="13"/>
      <c r="U3" s="13"/>
      <c r="V3" s="13"/>
      <c r="W3" s="13"/>
      <c r="X3" s="13"/>
      <c r="Y3" s="13"/>
      <c r="Z3" s="13"/>
    </row>
    <row r="4" spans="1:26" ht="15" customHeight="1" x14ac:dyDescent="0.25">
      <c r="A4" s="15" t="s">
        <v>136</v>
      </c>
      <c r="B4" s="16"/>
      <c r="C4" s="17"/>
      <c r="D4" s="43"/>
      <c r="E4" s="15" t="s">
        <v>137</v>
      </c>
      <c r="F4" s="16"/>
      <c r="G4" s="16"/>
      <c r="H4" s="17"/>
      <c r="I4" s="43"/>
      <c r="J4" s="43"/>
      <c r="K4" s="43"/>
      <c r="L4" s="43"/>
      <c r="M4" s="18"/>
      <c r="N4" s="43"/>
      <c r="O4" s="43"/>
      <c r="P4" s="43"/>
      <c r="Q4" s="43"/>
      <c r="R4" s="43"/>
      <c r="S4" s="43"/>
      <c r="T4" s="43"/>
      <c r="U4" s="43"/>
      <c r="V4" s="43"/>
      <c r="W4" s="43"/>
      <c r="X4" s="43"/>
    </row>
    <row r="5" spans="1:26" ht="15" customHeight="1" x14ac:dyDescent="0.25">
      <c r="A5" s="19"/>
      <c r="B5" s="43" t="s">
        <v>138</v>
      </c>
      <c r="C5" s="20" t="s">
        <v>239</v>
      </c>
      <c r="D5" s="43"/>
      <c r="E5" s="90" t="str">
        <f>"Enterprise value calculation in "&amp;MAIN_CURRENCY&amp;" MM"</f>
        <v>Enterprise value calculation in USD MM</v>
      </c>
      <c r="F5" s="43"/>
      <c r="G5" s="43"/>
      <c r="H5" s="91"/>
      <c r="I5" s="43"/>
      <c r="J5" s="43"/>
      <c r="K5" s="43"/>
      <c r="L5" s="43"/>
      <c r="M5" s="18"/>
      <c r="N5" s="43"/>
      <c r="O5" s="43"/>
      <c r="P5" s="43"/>
      <c r="Q5" s="43"/>
      <c r="R5" s="43"/>
      <c r="S5" s="43"/>
      <c r="T5" s="43"/>
      <c r="U5" s="43"/>
      <c r="V5" s="43"/>
      <c r="W5" s="43"/>
      <c r="X5" s="43"/>
    </row>
    <row r="6" spans="1:26" ht="15" customHeight="1" x14ac:dyDescent="0.25">
      <c r="A6" s="19"/>
      <c r="B6" s="43" t="s">
        <v>140</v>
      </c>
      <c r="C6" s="20" t="s">
        <v>141</v>
      </c>
      <c r="D6" s="43"/>
      <c r="E6" s="92" t="s">
        <v>142</v>
      </c>
      <c r="F6" s="43"/>
      <c r="G6" s="43"/>
      <c r="H6" s="91">
        <f>D36*'2'!COMP_FX</f>
        <v>40504.205149380003</v>
      </c>
      <c r="I6" s="43"/>
      <c r="J6" s="43"/>
      <c r="K6" s="43"/>
      <c r="L6" s="43"/>
      <c r="M6" s="18"/>
      <c r="N6" s="43"/>
      <c r="O6" s="43"/>
      <c r="P6" s="43"/>
      <c r="Q6" s="43"/>
      <c r="R6" s="43"/>
      <c r="S6" s="43"/>
      <c r="T6" s="43"/>
      <c r="U6" s="43"/>
      <c r="V6" s="43"/>
      <c r="W6" s="43"/>
      <c r="X6" s="43"/>
    </row>
    <row r="7" spans="1:26" ht="15" customHeight="1" x14ac:dyDescent="0.25">
      <c r="A7" s="19"/>
      <c r="B7" s="43" t="s">
        <v>143</v>
      </c>
      <c r="C7" s="93">
        <f>ANALYSIS_DATE</f>
        <v>46076</v>
      </c>
      <c r="D7" s="43"/>
      <c r="E7" s="92" t="s">
        <v>144</v>
      </c>
      <c r="F7" s="43"/>
      <c r="G7" s="43"/>
      <c r="H7" s="91">
        <f>SUM(G31:G36)*'2'!COMP_FX</f>
        <v>16839</v>
      </c>
      <c r="I7" s="43"/>
      <c r="J7" s="43"/>
      <c r="K7" s="43"/>
      <c r="L7" s="43"/>
      <c r="M7" s="18"/>
      <c r="N7" s="43"/>
      <c r="O7" s="43"/>
      <c r="P7" s="43"/>
      <c r="Q7" s="43"/>
      <c r="R7" s="43"/>
      <c r="S7" s="43"/>
      <c r="T7" s="43"/>
      <c r="U7" s="43"/>
      <c r="V7" s="43"/>
      <c r="W7" s="43"/>
      <c r="X7" s="43"/>
    </row>
    <row r="8" spans="1:26" ht="15" customHeight="1" x14ac:dyDescent="0.25">
      <c r="A8" s="19"/>
      <c r="B8" s="43" t="s">
        <v>145</v>
      </c>
      <c r="C8" s="250">
        <f>Trading_comps!D5</f>
        <v>46022</v>
      </c>
      <c r="D8" s="43"/>
      <c r="E8" s="92" t="s">
        <v>146</v>
      </c>
      <c r="F8" s="43"/>
      <c r="G8" s="43"/>
      <c r="H8" s="91">
        <f>SUM(J31:J32)*'2'!COMP_FX</f>
        <v>569</v>
      </c>
      <c r="I8" s="43"/>
      <c r="J8" s="43"/>
      <c r="K8" s="43"/>
      <c r="L8" s="43"/>
      <c r="M8" s="43"/>
      <c r="N8" s="43"/>
      <c r="O8" s="43"/>
      <c r="P8" s="43"/>
      <c r="Q8" s="43"/>
      <c r="R8" s="43"/>
      <c r="S8" s="43"/>
      <c r="T8" s="43"/>
      <c r="U8" s="43"/>
      <c r="V8" s="43"/>
      <c r="W8" s="43"/>
      <c r="X8" s="43"/>
    </row>
    <row r="9" spans="1:26" ht="15" customHeight="1" x14ac:dyDescent="0.25">
      <c r="A9" s="21"/>
      <c r="B9" s="43" t="s">
        <v>147</v>
      </c>
      <c r="C9" s="94" t="str">
        <f>MAIN_CURRENCY</f>
        <v>USD</v>
      </c>
      <c r="D9" s="43"/>
      <c r="E9" s="92" t="s">
        <v>148</v>
      </c>
      <c r="F9" s="43"/>
      <c r="G9" s="43"/>
      <c r="H9" s="91">
        <f>(SUM(J33:J37)-SUM(G37))*'2'!COMP_FX</f>
        <v>1617</v>
      </c>
      <c r="I9" s="43"/>
      <c r="J9" s="43"/>
      <c r="K9" s="43"/>
      <c r="L9" s="43"/>
      <c r="M9" s="43"/>
      <c r="N9" s="43"/>
      <c r="O9" s="43"/>
      <c r="P9" s="43"/>
      <c r="Q9" s="43"/>
      <c r="R9" s="43"/>
      <c r="S9" s="43"/>
      <c r="T9" s="43"/>
      <c r="U9" s="43"/>
      <c r="V9" s="43"/>
      <c r="W9" s="43"/>
      <c r="X9" s="43"/>
    </row>
    <row r="10" spans="1:26" ht="15" customHeight="1" x14ac:dyDescent="0.25">
      <c r="A10" s="19"/>
      <c r="B10" s="43" t="s">
        <v>55</v>
      </c>
      <c r="C10" s="146">
        <v>0.23100000000000001</v>
      </c>
      <c r="D10" s="152"/>
      <c r="E10" s="95" t="s">
        <v>149</v>
      </c>
      <c r="F10" s="85"/>
      <c r="G10" s="85"/>
      <c r="H10" s="96">
        <f>'2'!COMP_EQ_VALUE+'2'!TOTAL_DEBT-H8-H9</f>
        <v>55157.205149380003</v>
      </c>
      <c r="I10" s="43"/>
      <c r="J10" s="43"/>
      <c r="K10" s="43"/>
      <c r="L10" s="43"/>
      <c r="M10" s="43"/>
      <c r="N10" s="43"/>
      <c r="O10" s="43"/>
      <c r="P10" s="43"/>
      <c r="Q10" s="43"/>
      <c r="R10" s="43"/>
      <c r="S10" s="43"/>
      <c r="T10" s="43"/>
      <c r="U10" s="43"/>
      <c r="V10" s="43"/>
      <c r="W10" s="43"/>
      <c r="X10" s="43"/>
    </row>
    <row r="11" spans="1:26" ht="15" customHeight="1" x14ac:dyDescent="0.25">
      <c r="A11" s="19"/>
      <c r="B11" s="43" t="s">
        <v>150</v>
      </c>
      <c r="C11" s="23">
        <v>45657</v>
      </c>
      <c r="D11" s="43"/>
      <c r="E11" s="43"/>
      <c r="F11" s="43"/>
      <c r="G11" s="43"/>
      <c r="H11" s="43"/>
      <c r="I11" s="43"/>
      <c r="J11" s="43"/>
      <c r="K11" s="43"/>
      <c r="L11" s="43"/>
      <c r="M11" s="43"/>
      <c r="N11" s="43"/>
      <c r="O11" s="43"/>
      <c r="P11" s="43"/>
      <c r="Q11" s="43"/>
      <c r="R11" s="43"/>
      <c r="S11" s="43"/>
      <c r="T11" s="43"/>
      <c r="U11" s="43"/>
      <c r="V11" s="43"/>
      <c r="W11" s="43"/>
      <c r="X11" s="43"/>
    </row>
    <row r="12" spans="1:26" ht="15" customHeight="1" x14ac:dyDescent="0.25">
      <c r="A12" s="19"/>
      <c r="B12" s="43" t="s">
        <v>151</v>
      </c>
      <c r="C12" s="24" t="s">
        <v>669</v>
      </c>
      <c r="D12" s="43"/>
      <c r="E12" s="15" t="s">
        <v>152</v>
      </c>
      <c r="F12" s="16"/>
      <c r="G12" s="16"/>
      <c r="H12" s="16"/>
      <c r="I12" s="16"/>
      <c r="J12" s="16"/>
      <c r="K12" s="17"/>
      <c r="L12" s="43"/>
      <c r="M12" s="43"/>
      <c r="N12" s="43"/>
      <c r="O12" s="43"/>
      <c r="P12" s="43"/>
      <c r="Q12" s="43"/>
      <c r="R12" s="43"/>
      <c r="S12" s="43"/>
      <c r="T12" s="43"/>
      <c r="U12" s="43"/>
      <c r="V12" s="43"/>
      <c r="W12" s="43"/>
      <c r="X12" s="43"/>
    </row>
    <row r="13" spans="1:26" ht="15" customHeight="1" x14ac:dyDescent="0.25">
      <c r="A13" s="19"/>
      <c r="B13" s="43" t="s">
        <v>153</v>
      </c>
      <c r="C13" s="93">
        <f>DATE(RIGHT(C12,4),LEFT(C12,2),MID(C12,4,2))</f>
        <v>45930</v>
      </c>
      <c r="D13" s="43"/>
      <c r="E13" s="90" t="str">
        <f>"Numbers in "&amp;MAIN_CURRENCY&amp;" MM"</f>
        <v>Numbers in USD MM</v>
      </c>
      <c r="F13" s="43"/>
      <c r="G13" s="62" t="s">
        <v>132</v>
      </c>
      <c r="H13" s="97" t="str">
        <f>YEAR($C$8)+1&amp;"e"</f>
        <v>2026e</v>
      </c>
      <c r="I13" s="97" t="str">
        <f>YEAR($C$8)+2&amp;"e"</f>
        <v>2027e</v>
      </c>
      <c r="J13" s="97" t="str">
        <f>YEAR($C$8)+3&amp;"e"</f>
        <v>2028e</v>
      </c>
      <c r="K13" s="98" t="str">
        <f>YEAR($C$8)+4&amp;"e"</f>
        <v>2029e</v>
      </c>
      <c r="L13" s="43"/>
      <c r="M13" s="43"/>
      <c r="N13" s="43"/>
      <c r="O13" s="43"/>
      <c r="P13" s="43"/>
      <c r="Q13" s="43"/>
      <c r="R13" s="43"/>
      <c r="S13" s="43"/>
      <c r="T13" s="43"/>
      <c r="U13" s="43"/>
      <c r="V13" s="43"/>
      <c r="W13" s="43"/>
      <c r="X13" s="43"/>
    </row>
    <row r="14" spans="1:26" ht="15" customHeight="1" x14ac:dyDescent="0.25">
      <c r="A14" s="19"/>
      <c r="B14" s="43" t="s">
        <v>154</v>
      </c>
      <c r="C14" s="25" t="s">
        <v>155</v>
      </c>
      <c r="D14" s="43"/>
      <c r="E14" s="90" t="s">
        <v>75</v>
      </c>
      <c r="F14" s="43"/>
      <c r="G14" s="43">
        <f>G44*'2'!COMP_FX</f>
        <v>16174</v>
      </c>
      <c r="H14" s="62">
        <f>IF(I$80&gt;0,SUMPRODUCT('2'!COMP_CALENDARIZE_PERCENTAGES,H44:J44)*I$81*'2'!COMP_FX,"N/A")</f>
        <v>17216.2</v>
      </c>
      <c r="I14" s="62">
        <f>IF(J$80&gt;0,SUMPRODUCT('2'!COMP_CALENDARIZE_PERCENTAGES,I44:K44)*J$81*'2'!COMP_FX,"N/A")</f>
        <v>17827</v>
      </c>
      <c r="J14" s="62" t="str">
        <f>IF(K$80&gt;0,SUMPRODUCT('2'!COMP_CALENDARIZE_PERCENTAGES,J44:L44)*K$81*'2'!COMP_FX,"N/A")</f>
        <v>N/A</v>
      </c>
      <c r="K14" s="94" t="str">
        <f>IF(L$80&gt;0,SUMPRODUCT('2'!COMP_CALENDARIZE_PERCENTAGES,K44:M44)*L$81*'2'!COMP_FX,"N/A")</f>
        <v>N/A</v>
      </c>
      <c r="L14" s="43"/>
      <c r="M14" s="43"/>
      <c r="N14" s="43"/>
      <c r="O14" s="43"/>
      <c r="P14" s="43"/>
      <c r="Q14" s="43"/>
      <c r="R14" s="43"/>
      <c r="S14" s="43"/>
      <c r="T14" s="43"/>
      <c r="U14" s="43"/>
      <c r="V14" s="43"/>
      <c r="W14" s="43"/>
      <c r="X14" s="43"/>
    </row>
    <row r="15" spans="1:26" ht="15" customHeight="1" x14ac:dyDescent="0.25">
      <c r="A15" s="19"/>
      <c r="B15" s="43" t="s">
        <v>156</v>
      </c>
      <c r="C15" s="26">
        <v>1</v>
      </c>
      <c r="D15" s="43"/>
      <c r="E15" s="90" t="s">
        <v>18</v>
      </c>
      <c r="F15" s="43"/>
      <c r="G15" s="43">
        <f>G55*'2'!COMP_FX</f>
        <v>4530</v>
      </c>
      <c r="H15" s="62">
        <f>IF(I$80&gt;0,SUMPRODUCT('2'!COMP_CALENDARIZE_PERCENTAGES,H55:J55)*I$81*'2'!COMP_FX,"N/A")</f>
        <v>5066.3999999999996</v>
      </c>
      <c r="I15" s="62">
        <f>IF(J$80&gt;0,SUMPRODUCT('2'!COMP_CALENDARIZE_PERCENTAGES,I55:K55)*J$81*'2'!COMP_FX,"N/A")</f>
        <v>5298.7</v>
      </c>
      <c r="J15" s="62" t="str">
        <f>IF(K$80&gt;0,SUMPRODUCT('2'!COMP_CALENDARIZE_PERCENTAGES,J55:L55)*K$81*'2'!COMP_FX,"N/A")</f>
        <v>N/A</v>
      </c>
      <c r="K15" s="94" t="str">
        <f>IF(L$80&gt;0,SUMPRODUCT('2'!COMP_CALENDARIZE_PERCENTAGES,K55:M55)*L$81*'2'!COMP_FX,"N/A")</f>
        <v>N/A</v>
      </c>
      <c r="L15" s="43"/>
      <c r="M15" s="43"/>
      <c r="N15" s="43"/>
      <c r="O15" s="43"/>
      <c r="P15" s="43"/>
      <c r="Q15" s="43"/>
      <c r="R15" s="43"/>
      <c r="S15" s="43"/>
      <c r="T15" s="43"/>
      <c r="U15" s="43"/>
      <c r="V15" s="43"/>
      <c r="W15" s="43"/>
      <c r="X15" s="43"/>
    </row>
    <row r="16" spans="1:26" ht="15" customHeight="1" x14ac:dyDescent="0.25">
      <c r="A16" s="19"/>
      <c r="B16" s="43" t="s">
        <v>157</v>
      </c>
      <c r="C16" s="27">
        <v>29.54</v>
      </c>
      <c r="D16" s="43"/>
      <c r="E16" s="90" t="s">
        <v>17</v>
      </c>
      <c r="F16" s="43"/>
      <c r="G16" s="43">
        <f>G53*'2'!COMP_FX</f>
        <v>3948</v>
      </c>
      <c r="H16" s="62">
        <f>IF(I$80&gt;0,SUMPRODUCT('2'!COMP_CALENDARIZE_PERCENTAGES,H53:J53)*I$81*'2'!COMP_FX,"N/A")</f>
        <v>4466.3999999999996</v>
      </c>
      <c r="I16" s="62">
        <f>IF(J$80&gt;0,SUMPRODUCT('2'!COMP_CALENDARIZE_PERCENTAGES,I53:K53)*J$81*'2'!COMP_FX,"N/A")</f>
        <v>4698.7</v>
      </c>
      <c r="J16" s="62" t="str">
        <f>IF(K$80&gt;0,SUMPRODUCT('2'!COMP_CALENDARIZE_PERCENTAGES,J53:L53)*K$81*'2'!COMP_FX,"N/A")</f>
        <v>N/A</v>
      </c>
      <c r="K16" s="94" t="str">
        <f>IF(L$80&gt;0,SUMPRODUCT('2'!COMP_CALENDARIZE_PERCENTAGES,K53:M53)*L$81*'2'!COMP_FX,"N/A")</f>
        <v>N/A</v>
      </c>
      <c r="L16" s="43"/>
      <c r="M16" s="43"/>
      <c r="N16" s="43"/>
      <c r="O16" s="43"/>
      <c r="P16" s="43"/>
      <c r="Q16" s="43"/>
      <c r="R16" s="43"/>
      <c r="S16" s="43"/>
      <c r="T16" s="43"/>
      <c r="U16" s="43"/>
      <c r="V16" s="43"/>
      <c r="W16" s="43"/>
      <c r="X16" s="43"/>
    </row>
    <row r="17" spans="1:24" ht="15" customHeight="1" x14ac:dyDescent="0.25">
      <c r="A17" s="19"/>
      <c r="B17" s="43" t="s">
        <v>158</v>
      </c>
      <c r="C17" s="27">
        <v>25.03</v>
      </c>
      <c r="D17" s="43"/>
      <c r="E17" s="99" t="s">
        <v>159</v>
      </c>
      <c r="F17" s="85"/>
      <c r="G17" s="85"/>
      <c r="H17" s="100">
        <f>IF(I$80&gt;0,SUMPRODUCT('2'!COMP_CALENDARIZE_PERCENTAGES,H56:J56)*I$81*'2'!COMP_FX,"N/A")</f>
        <v>2.17</v>
      </c>
      <c r="I17" s="100">
        <f>IF(J$80&gt;0,SUMPRODUCT('2'!COMP_CALENDARIZE_PERCENTAGES,I56:K56)*J$81*'2'!COMP_FX,"N/A")</f>
        <v>2.31</v>
      </c>
      <c r="J17" s="100" t="str">
        <f>IF(K$80&gt;0,SUMPRODUCT('2'!COMP_CALENDARIZE_PERCENTAGES,J56:L56)*K$81*'2'!COMP_FX,"N/A")</f>
        <v>N/A</v>
      </c>
      <c r="K17" s="101" t="str">
        <f>IF(L$80&gt;0,SUMPRODUCT('2'!COMP_CALENDARIZE_PERCENTAGES,K56:M56)*L$81*'2'!COMP_FX,"N/A")</f>
        <v>N/A</v>
      </c>
      <c r="L17" s="43"/>
      <c r="M17" s="43"/>
      <c r="N17" s="43"/>
      <c r="O17" s="43"/>
      <c r="P17" s="43"/>
      <c r="Q17" s="43"/>
      <c r="R17" s="43"/>
      <c r="S17" s="43"/>
      <c r="T17" s="43"/>
      <c r="U17" s="43"/>
      <c r="V17" s="43"/>
      <c r="W17" s="43"/>
      <c r="X17" s="43"/>
    </row>
    <row r="18" spans="1:24" ht="15" customHeight="1" x14ac:dyDescent="0.25">
      <c r="A18" s="19"/>
      <c r="B18" s="43" t="s">
        <v>160</v>
      </c>
      <c r="C18" s="27">
        <v>36.119999999999997</v>
      </c>
      <c r="D18" s="43"/>
      <c r="E18" s="43"/>
      <c r="F18" s="43"/>
      <c r="G18" s="43"/>
      <c r="H18" s="43"/>
      <c r="I18" s="43"/>
      <c r="J18" s="43"/>
      <c r="K18" s="43"/>
      <c r="L18" s="43"/>
      <c r="M18" s="43"/>
      <c r="N18" s="43"/>
      <c r="O18" s="43"/>
      <c r="P18" s="43"/>
      <c r="Q18" s="43"/>
      <c r="R18" s="43"/>
      <c r="S18" s="43"/>
      <c r="T18" s="43"/>
      <c r="U18" s="43"/>
      <c r="V18" s="43"/>
      <c r="W18" s="43"/>
      <c r="X18" s="43"/>
    </row>
    <row r="19" spans="1:24" ht="15" customHeight="1" x14ac:dyDescent="0.25">
      <c r="A19" s="19"/>
      <c r="B19" s="43" t="s">
        <v>161</v>
      </c>
      <c r="C19" s="25" t="s">
        <v>670</v>
      </c>
      <c r="D19" s="43"/>
      <c r="E19" s="15" t="s">
        <v>163</v>
      </c>
      <c r="F19" s="16"/>
      <c r="G19" s="16"/>
      <c r="H19" s="16"/>
      <c r="I19" s="16"/>
      <c r="J19" s="16"/>
      <c r="K19" s="17"/>
      <c r="L19" s="43"/>
      <c r="M19" s="43"/>
      <c r="N19" s="43"/>
      <c r="O19" s="43"/>
      <c r="P19" s="43"/>
      <c r="Q19" s="43"/>
      <c r="R19" s="43"/>
      <c r="S19" s="43"/>
      <c r="T19" s="43"/>
      <c r="U19" s="43"/>
      <c r="V19" s="43"/>
      <c r="W19" s="43"/>
      <c r="X19" s="43"/>
    </row>
    <row r="20" spans="1:24" ht="15" customHeight="1" x14ac:dyDescent="0.25">
      <c r="A20" s="19"/>
      <c r="B20" s="43" t="s">
        <v>164</v>
      </c>
      <c r="C20" s="54">
        <v>0.55000000000000004</v>
      </c>
      <c r="D20" s="43"/>
      <c r="E20" s="90" t="s">
        <v>165</v>
      </c>
      <c r="F20" s="43"/>
      <c r="G20" s="62" t="str">
        <f>G13</f>
        <v>LTM</v>
      </c>
      <c r="H20" s="62" t="str">
        <f>H13</f>
        <v>2026e</v>
      </c>
      <c r="I20" s="62" t="str">
        <f>I13</f>
        <v>2027e</v>
      </c>
      <c r="J20" s="62" t="str">
        <f>J13</f>
        <v>2028e</v>
      </c>
      <c r="K20" s="94" t="str">
        <f>K13</f>
        <v>2029e</v>
      </c>
      <c r="L20" s="43"/>
      <c r="M20" s="43"/>
      <c r="N20" s="43"/>
      <c r="O20" s="43"/>
      <c r="P20" s="43"/>
      <c r="Q20" s="43"/>
      <c r="R20" s="43"/>
      <c r="S20" s="43"/>
      <c r="T20" s="43"/>
      <c r="U20" s="43"/>
      <c r="V20" s="43"/>
      <c r="W20" s="43"/>
      <c r="X20" s="43"/>
    </row>
    <row r="21" spans="1:24" ht="15" customHeight="1" x14ac:dyDescent="0.25">
      <c r="A21" s="19"/>
      <c r="B21" s="43" t="s">
        <v>166</v>
      </c>
      <c r="C21" s="22">
        <v>6.5000000000000002E-2</v>
      </c>
      <c r="D21" s="43"/>
      <c r="E21" s="90" t="s">
        <v>167</v>
      </c>
      <c r="F21" s="43"/>
      <c r="G21" s="102">
        <f>IF(G14&lt;&gt;0,$H$10/G14,"N/A")</f>
        <v>3.4102389730048226</v>
      </c>
      <c r="H21" s="102">
        <f t="shared" ref="H21:J23" si="0">IF(ISNUMBER(H14),$H$10/H14,"N/A")</f>
        <v>3.2037967233988915</v>
      </c>
      <c r="I21" s="102">
        <f t="shared" si="0"/>
        <v>3.0940262045986429</v>
      </c>
      <c r="J21" s="102" t="str">
        <f t="shared" si="0"/>
        <v>N/A</v>
      </c>
      <c r="K21" s="103" t="str">
        <f>IFERROR($H$10/K14,"N/A")</f>
        <v>N/A</v>
      </c>
      <c r="L21" s="43"/>
      <c r="M21" s="43"/>
      <c r="N21" s="43"/>
      <c r="O21" s="43"/>
      <c r="P21" s="43"/>
      <c r="Q21" s="43"/>
      <c r="R21" s="43"/>
      <c r="S21" s="43"/>
      <c r="T21" s="43"/>
      <c r="U21" s="43"/>
      <c r="V21" s="43"/>
      <c r="W21" s="43"/>
      <c r="X21" s="43"/>
    </row>
    <row r="22" spans="1:24" ht="15" customHeight="1" x14ac:dyDescent="0.25">
      <c r="A22" s="19"/>
      <c r="B22" s="43" t="s">
        <v>168</v>
      </c>
      <c r="C22" s="104">
        <f>G53/G44</f>
        <v>0.24409546185235564</v>
      </c>
      <c r="D22" s="43"/>
      <c r="E22" s="90" t="s">
        <v>134</v>
      </c>
      <c r="F22" s="43"/>
      <c r="G22" s="102">
        <f>IF(G15&lt;&gt;0,$H$10/G15,"N/A")</f>
        <v>12.175983476684328</v>
      </c>
      <c r="H22" s="102">
        <f t="shared" si="0"/>
        <v>10.886863482824097</v>
      </c>
      <c r="I22" s="102">
        <f t="shared" si="0"/>
        <v>10.409573131028367</v>
      </c>
      <c r="J22" s="102" t="str">
        <f t="shared" si="0"/>
        <v>N/A</v>
      </c>
      <c r="K22" s="103" t="str">
        <f>IFERROR($H$10/K15,"N/A")</f>
        <v>N/A</v>
      </c>
      <c r="L22" s="43"/>
      <c r="M22" s="43"/>
      <c r="N22" s="43"/>
      <c r="O22" s="43"/>
      <c r="P22" s="43"/>
      <c r="Q22" s="43"/>
      <c r="R22" s="43"/>
      <c r="S22" s="43"/>
      <c r="T22" s="43"/>
      <c r="U22" s="43"/>
      <c r="V22" s="43"/>
      <c r="W22" s="43"/>
      <c r="X22" s="43"/>
    </row>
    <row r="23" spans="1:24" ht="15" customHeight="1" x14ac:dyDescent="0.25">
      <c r="A23" s="28"/>
      <c r="B23" s="85" t="s">
        <v>35</v>
      </c>
      <c r="C23" s="105">
        <f>G53*(1-'2'!COMP_MTR)/D39</f>
        <v>7.5943967781474359E-2</v>
      </c>
      <c r="D23" s="43"/>
      <c r="E23" s="90" t="s">
        <v>169</v>
      </c>
      <c r="F23" s="43"/>
      <c r="G23" s="102">
        <f>IF(G16&lt;&gt;0,$H$10/G16,"N/A")</f>
        <v>13.970923290116515</v>
      </c>
      <c r="H23" s="102">
        <f t="shared" si="0"/>
        <v>12.349365294057856</v>
      </c>
      <c r="I23" s="102">
        <f t="shared" si="0"/>
        <v>11.738822472041203</v>
      </c>
      <c r="J23" s="102" t="str">
        <f t="shared" si="0"/>
        <v>N/A</v>
      </c>
      <c r="K23" s="103" t="str">
        <f>IFERROR($H$10/K16,"N/A")</f>
        <v>N/A</v>
      </c>
      <c r="L23" s="43"/>
      <c r="M23" s="43"/>
      <c r="N23" s="43"/>
      <c r="O23" s="43"/>
      <c r="P23" s="43"/>
      <c r="Q23" s="43"/>
      <c r="R23" s="43"/>
      <c r="S23" s="43"/>
      <c r="T23" s="43"/>
      <c r="U23" s="43"/>
      <c r="V23" s="43"/>
      <c r="W23" s="43"/>
      <c r="X23" s="43"/>
    </row>
    <row r="24" spans="1:24" ht="15" customHeight="1" x14ac:dyDescent="0.25">
      <c r="A24" s="9"/>
      <c r="B24" s="43"/>
      <c r="C24" s="43"/>
      <c r="D24" s="43"/>
      <c r="E24" s="90" t="s">
        <v>170</v>
      </c>
      <c r="F24" s="43"/>
      <c r="G24" s="102"/>
      <c r="H24" s="102">
        <f>IF(ISNUMBER(H17),($C$16*'2'!COMP_FX)/H17,"N/A")</f>
        <v>13.612903225806452</v>
      </c>
      <c r="I24" s="102">
        <f>IF(ISNUMBER(I17),($C$16*'2'!COMP_FX)/I17,"N/A")</f>
        <v>12.787878787878787</v>
      </c>
      <c r="J24" s="102" t="str">
        <f>IF(ISNUMBER(J17),($C$16*'2'!COMP_FX)/J17,"N/A")</f>
        <v>N/A</v>
      </c>
      <c r="K24" s="103" t="str">
        <f>IFERROR(($C$16*'2'!COMP_FX)/K17,"N/A")</f>
        <v>N/A</v>
      </c>
      <c r="L24" s="43"/>
      <c r="M24" s="43"/>
      <c r="N24" s="43"/>
      <c r="O24" s="43"/>
      <c r="P24" s="43"/>
      <c r="Q24" s="43"/>
      <c r="R24" s="43"/>
      <c r="S24" s="43"/>
      <c r="T24" s="43"/>
      <c r="U24" s="43"/>
      <c r="V24" s="43"/>
      <c r="W24" s="43"/>
      <c r="X24" s="43"/>
    </row>
    <row r="25" spans="1:24" ht="15" customHeight="1" x14ac:dyDescent="0.25">
      <c r="A25" s="19"/>
      <c r="B25" s="43"/>
      <c r="C25" s="43"/>
      <c r="D25" s="43"/>
      <c r="E25" s="90" t="s">
        <v>171</v>
      </c>
      <c r="F25" s="43"/>
      <c r="G25" s="102">
        <f>D36/D37</f>
        <v>1.5994394704383195</v>
      </c>
      <c r="H25" s="43"/>
      <c r="I25" s="43"/>
      <c r="J25" s="43"/>
      <c r="K25" s="91"/>
      <c r="L25" s="43"/>
      <c r="M25" s="43"/>
      <c r="N25" s="43"/>
      <c r="O25" s="43"/>
      <c r="P25" s="43"/>
      <c r="Q25" s="43"/>
      <c r="R25" s="43"/>
      <c r="S25" s="43"/>
      <c r="T25" s="43"/>
      <c r="U25" s="43"/>
      <c r="V25" s="43"/>
      <c r="W25" s="43"/>
      <c r="X25" s="43"/>
    </row>
    <row r="26" spans="1:24" ht="15" customHeight="1" x14ac:dyDescent="0.25">
      <c r="A26" s="19"/>
      <c r="B26" s="43"/>
      <c r="C26" s="43"/>
      <c r="D26" s="43"/>
      <c r="E26" s="99" t="s">
        <v>172</v>
      </c>
      <c r="F26" s="85"/>
      <c r="G26" s="106">
        <f>IF(G15=0,"N/A",H7/G15)</f>
        <v>3.7172185430463576</v>
      </c>
      <c r="H26" s="85"/>
      <c r="I26" s="85"/>
      <c r="J26" s="85"/>
      <c r="K26" s="96"/>
      <c r="L26" s="43"/>
      <c r="M26" s="43"/>
      <c r="N26" s="43"/>
      <c r="O26" s="43"/>
      <c r="P26" s="43"/>
      <c r="Q26" s="43"/>
      <c r="R26" s="43"/>
      <c r="S26" s="43"/>
      <c r="T26" s="43"/>
      <c r="U26" s="43"/>
      <c r="V26" s="43"/>
      <c r="W26" s="43"/>
      <c r="X26" s="43"/>
    </row>
    <row r="27" spans="1:24" ht="15" customHeight="1" x14ac:dyDescent="0.25">
      <c r="A27" s="19"/>
      <c r="B27" s="43"/>
      <c r="C27" s="43"/>
      <c r="D27" s="43"/>
      <c r="E27" s="43"/>
      <c r="F27" s="43"/>
      <c r="G27" s="43"/>
      <c r="H27" s="43"/>
      <c r="I27" s="43"/>
      <c r="J27" s="43"/>
      <c r="K27" s="43"/>
      <c r="L27" s="43"/>
      <c r="M27" s="43"/>
      <c r="N27" s="43"/>
      <c r="O27" s="43"/>
      <c r="P27" s="43"/>
      <c r="Q27" s="43"/>
      <c r="R27" s="43"/>
      <c r="S27" s="43"/>
      <c r="T27" s="43"/>
      <c r="U27" s="43"/>
      <c r="V27" s="43"/>
      <c r="W27" s="43"/>
      <c r="X27" s="43"/>
    </row>
    <row r="28" spans="1:24" ht="15" customHeight="1" x14ac:dyDescent="0.3">
      <c r="A28" s="15" t="s">
        <v>173</v>
      </c>
      <c r="B28" s="29"/>
      <c r="C28" s="30"/>
      <c r="D28" s="30"/>
      <c r="E28" s="30"/>
      <c r="F28" s="30"/>
      <c r="G28" s="30"/>
      <c r="H28" s="30"/>
      <c r="I28" s="30"/>
      <c r="J28" s="30"/>
      <c r="K28" s="30"/>
      <c r="L28" s="43"/>
      <c r="M28" s="15" t="s">
        <v>174</v>
      </c>
      <c r="N28" s="16"/>
      <c r="O28" s="16"/>
      <c r="P28" s="17"/>
      <c r="Q28" s="43"/>
      <c r="R28" s="43"/>
      <c r="S28" s="43"/>
      <c r="T28" s="43"/>
      <c r="U28" s="43"/>
      <c r="V28" s="43"/>
      <c r="W28" s="43"/>
      <c r="X28" s="43"/>
    </row>
    <row r="29" spans="1:24" ht="15" customHeight="1" x14ac:dyDescent="0.25">
      <c r="A29" s="90"/>
      <c r="B29" s="43"/>
      <c r="C29" s="43"/>
      <c r="D29" s="43"/>
      <c r="E29" s="43"/>
      <c r="F29" s="43"/>
      <c r="H29" s="43"/>
      <c r="I29" s="43"/>
      <c r="J29" s="43"/>
      <c r="K29" s="91"/>
      <c r="L29" s="43"/>
      <c r="M29" s="90" t="s">
        <v>175</v>
      </c>
      <c r="N29" s="62" t="s">
        <v>176</v>
      </c>
      <c r="O29" s="62" t="s">
        <v>177</v>
      </c>
      <c r="P29" s="94" t="s">
        <v>178</v>
      </c>
      <c r="Q29" s="43"/>
      <c r="R29" s="43"/>
      <c r="S29" s="43"/>
      <c r="T29" s="43"/>
      <c r="U29" s="43"/>
      <c r="V29" s="43"/>
      <c r="W29" s="43"/>
      <c r="X29" s="43"/>
    </row>
    <row r="30" spans="1:24" ht="15" customHeight="1" x14ac:dyDescent="0.25">
      <c r="A30" s="19"/>
      <c r="B30" s="10" t="s">
        <v>179</v>
      </c>
      <c r="C30" s="43"/>
      <c r="D30" s="10"/>
      <c r="E30" s="10" t="s">
        <v>180</v>
      </c>
      <c r="F30" s="31"/>
      <c r="G30" s="31"/>
      <c r="H30" s="10" t="s">
        <v>181</v>
      </c>
      <c r="I30" s="31"/>
      <c r="J30" s="31"/>
      <c r="K30" s="91"/>
      <c r="L30" s="43"/>
      <c r="M30" s="32" t="s">
        <v>182</v>
      </c>
      <c r="N30" s="14">
        <v>0</v>
      </c>
      <c r="O30" s="33">
        <v>0</v>
      </c>
      <c r="P30" s="91">
        <f>MAX(('2'!COMP_SHAREPRICE-O30)/'2'!COMP_SHAREPRICE*N30,0)</f>
        <v>0</v>
      </c>
      <c r="Q30" s="43"/>
      <c r="S30" s="43"/>
      <c r="T30" s="43"/>
      <c r="U30" s="43"/>
      <c r="V30" s="43"/>
      <c r="W30" s="43"/>
      <c r="X30" s="43"/>
    </row>
    <row r="31" spans="1:24" ht="15" customHeight="1" x14ac:dyDescent="0.25">
      <c r="A31" s="19"/>
      <c r="B31" s="43" t="s">
        <v>183</v>
      </c>
      <c r="C31" s="43"/>
      <c r="D31" s="34">
        <v>45953</v>
      </c>
      <c r="E31" s="43" t="s">
        <v>184</v>
      </c>
      <c r="F31" s="43"/>
      <c r="G31" s="14">
        <v>2285</v>
      </c>
      <c r="H31" s="43" t="s">
        <v>185</v>
      </c>
      <c r="I31" s="43"/>
      <c r="J31" s="14">
        <f>516+53</f>
        <v>569</v>
      </c>
      <c r="K31" s="91"/>
      <c r="M31" s="32" t="s">
        <v>186</v>
      </c>
      <c r="N31" s="14">
        <v>0.46172600000000003</v>
      </c>
      <c r="O31" s="33">
        <v>0</v>
      </c>
      <c r="P31" s="91">
        <f>MAX(('2'!COMP_SHAREPRICE-O31)/'2'!COMP_SHAREPRICE*N31,0)</f>
        <v>0.46172600000000003</v>
      </c>
      <c r="Q31" s="43"/>
      <c r="R31" s="43"/>
      <c r="S31" s="43"/>
      <c r="T31" s="43"/>
      <c r="U31" s="43"/>
      <c r="V31" s="43"/>
    </row>
    <row r="32" spans="1:24" ht="15" customHeight="1" x14ac:dyDescent="0.25">
      <c r="A32" s="19"/>
      <c r="B32" s="43" t="s">
        <v>187</v>
      </c>
      <c r="D32" s="14">
        <v>1358.5831250000001</v>
      </c>
      <c r="E32" s="7" t="s">
        <v>241</v>
      </c>
      <c r="F32" s="43"/>
      <c r="G32" s="14">
        <v>150</v>
      </c>
      <c r="H32" s="7" t="s">
        <v>189</v>
      </c>
      <c r="I32" s="43"/>
      <c r="J32" s="14">
        <v>0</v>
      </c>
      <c r="K32" s="91"/>
      <c r="M32" s="32" t="s">
        <v>190</v>
      </c>
      <c r="N32" s="14">
        <v>12.119846000000001</v>
      </c>
      <c r="O32" s="33">
        <v>0</v>
      </c>
      <c r="P32" s="91">
        <f>MAX(('2'!COMP_SHAREPRICE-O32)/'2'!COMP_SHAREPRICE*N32,0)</f>
        <v>12.119846000000001</v>
      </c>
      <c r="Q32" s="43"/>
      <c r="R32" s="43"/>
      <c r="S32" s="43"/>
      <c r="T32" s="43"/>
      <c r="U32" s="43"/>
      <c r="V32" s="43"/>
    </row>
    <row r="33" spans="1:26" ht="15" customHeight="1" x14ac:dyDescent="0.25">
      <c r="A33" s="19"/>
      <c r="B33" s="43" t="s">
        <v>191</v>
      </c>
      <c r="D33" s="14">
        <v>0</v>
      </c>
      <c r="E33" s="7" t="s">
        <v>241</v>
      </c>
      <c r="F33" s="43"/>
      <c r="G33" s="14">
        <v>704</v>
      </c>
      <c r="H33" s="7" t="s">
        <v>193</v>
      </c>
      <c r="I33" s="43"/>
      <c r="J33" s="14">
        <v>1617</v>
      </c>
      <c r="K33" s="91"/>
      <c r="M33" s="32" t="s">
        <v>194</v>
      </c>
      <c r="N33" s="14">
        <v>0</v>
      </c>
      <c r="O33" s="33">
        <v>0</v>
      </c>
      <c r="P33" s="91">
        <f>MAX(('2'!COMP_SHAREPRICE-O33)/'2'!COMP_SHAREPRICE*N33,0)</f>
        <v>0</v>
      </c>
      <c r="Q33" s="43"/>
      <c r="R33" s="43"/>
      <c r="S33" s="43"/>
      <c r="T33" s="43"/>
      <c r="U33" s="43"/>
      <c r="V33" s="43"/>
    </row>
    <row r="34" spans="1:26" ht="15" customHeight="1" x14ac:dyDescent="0.25">
      <c r="A34" s="19"/>
      <c r="B34" s="43" t="s">
        <v>195</v>
      </c>
      <c r="D34" s="43">
        <f>P38</f>
        <v>12.581572000000001</v>
      </c>
      <c r="E34" s="7" t="s">
        <v>192</v>
      </c>
      <c r="F34" s="43"/>
      <c r="G34" s="14">
        <v>13531</v>
      </c>
      <c r="H34" s="7" t="s">
        <v>27</v>
      </c>
      <c r="I34" s="43"/>
      <c r="J34" s="14">
        <v>0</v>
      </c>
      <c r="K34" s="91"/>
      <c r="M34" s="32" t="s">
        <v>198</v>
      </c>
      <c r="N34" s="14">
        <v>0</v>
      </c>
      <c r="O34" s="33">
        <v>0</v>
      </c>
      <c r="P34" s="91">
        <f>MAX(('2'!COMP_SHAREPRICE-O34)/'2'!COMP_SHAREPRICE*N34,0)</f>
        <v>0</v>
      </c>
      <c r="Q34" s="43"/>
      <c r="R34" s="43"/>
      <c r="S34" s="43"/>
      <c r="T34" s="43"/>
      <c r="U34" s="43"/>
      <c r="V34" s="43"/>
    </row>
    <row r="35" spans="1:26" ht="15" customHeight="1" x14ac:dyDescent="0.25">
      <c r="A35" s="19"/>
      <c r="B35" s="43" t="s">
        <v>199</v>
      </c>
      <c r="D35" s="43">
        <f>SUM(D32:D34)</f>
        <v>1371.1646970000002</v>
      </c>
      <c r="E35" s="7" t="s">
        <v>26</v>
      </c>
      <c r="G35" s="14">
        <v>30</v>
      </c>
      <c r="H35" s="7" t="s">
        <v>27</v>
      </c>
      <c r="I35" s="43"/>
      <c r="J35" s="14">
        <v>0</v>
      </c>
      <c r="K35" s="91"/>
      <c r="L35" s="43"/>
      <c r="M35" s="32" t="s">
        <v>201</v>
      </c>
      <c r="N35" s="14">
        <v>0</v>
      </c>
      <c r="O35" s="33">
        <v>0</v>
      </c>
      <c r="P35" s="91">
        <f>MAX(('2'!COMP_SHAREPRICE-O35)/'2'!COMP_SHAREPRICE*N35,0)</f>
        <v>0</v>
      </c>
      <c r="Q35" s="43"/>
      <c r="R35" s="43"/>
      <c r="S35" s="43"/>
      <c r="T35" s="43"/>
      <c r="U35" s="43"/>
      <c r="V35" s="43"/>
    </row>
    <row r="36" spans="1:26" ht="15" customHeight="1" x14ac:dyDescent="0.25">
      <c r="A36" s="19"/>
      <c r="B36" s="43" t="s">
        <v>202</v>
      </c>
      <c r="D36" s="43">
        <f>D35*'2'!COMP_SHAREPRICE</f>
        <v>40504.205149380003</v>
      </c>
      <c r="E36" s="7" t="s">
        <v>242</v>
      </c>
      <c r="F36" s="43"/>
      <c r="G36" s="14">
        <v>139</v>
      </c>
      <c r="H36" s="7" t="s">
        <v>27</v>
      </c>
      <c r="I36" s="43"/>
      <c r="J36" s="14">
        <v>0</v>
      </c>
      <c r="K36" s="91"/>
      <c r="L36" s="43"/>
      <c r="M36" s="32" t="s">
        <v>203</v>
      </c>
      <c r="N36" s="14">
        <v>0</v>
      </c>
      <c r="O36" s="33">
        <v>0</v>
      </c>
      <c r="P36" s="91">
        <f>MAX(('2'!COMP_SHAREPRICE-O36)/'2'!COMP_SHAREPRICE*N36,0)</f>
        <v>0</v>
      </c>
      <c r="Q36" s="43"/>
      <c r="R36" s="43"/>
      <c r="S36" s="107"/>
      <c r="T36" s="81"/>
      <c r="U36" s="81"/>
      <c r="V36" s="81"/>
      <c r="W36" s="81"/>
      <c r="X36" s="81"/>
    </row>
    <row r="37" spans="1:26" ht="15" customHeight="1" x14ac:dyDescent="0.25">
      <c r="A37" s="19"/>
      <c r="B37" s="43" t="s">
        <v>204</v>
      </c>
      <c r="D37" s="14">
        <v>25324</v>
      </c>
      <c r="E37" s="43" t="s">
        <v>200</v>
      </c>
      <c r="F37" s="43"/>
      <c r="G37" s="14">
        <v>0</v>
      </c>
      <c r="H37" s="7" t="s">
        <v>27</v>
      </c>
      <c r="I37" s="43"/>
      <c r="J37" s="14">
        <v>0</v>
      </c>
      <c r="K37" s="91"/>
      <c r="L37" s="43"/>
      <c r="M37" s="32" t="s">
        <v>205</v>
      </c>
      <c r="N37" s="14">
        <v>0</v>
      </c>
      <c r="O37" s="33">
        <v>0</v>
      </c>
      <c r="P37" s="91">
        <f>MAX(('2'!COMP_SHAREPRICE-O37)/'2'!COMP_SHAREPRICE*N37,0)</f>
        <v>0</v>
      </c>
      <c r="Q37" s="43"/>
      <c r="R37" s="43"/>
      <c r="S37" s="107"/>
      <c r="T37" s="81"/>
      <c r="U37" s="81"/>
      <c r="V37" s="81"/>
      <c r="W37" s="81"/>
      <c r="X37" s="81"/>
    </row>
    <row r="38" spans="1:26" ht="15" customHeight="1" x14ac:dyDescent="0.25">
      <c r="A38" s="19"/>
      <c r="B38" s="43" t="s">
        <v>206</v>
      </c>
      <c r="C38" s="43"/>
      <c r="D38" s="43">
        <f>G39-J39</f>
        <v>14653</v>
      </c>
      <c r="F38" s="43"/>
      <c r="G38" s="43"/>
      <c r="H38" s="43"/>
      <c r="I38" s="43"/>
      <c r="J38" s="43"/>
      <c r="K38" s="91"/>
      <c r="L38" s="43"/>
      <c r="M38" s="99" t="s">
        <v>207</v>
      </c>
      <c r="N38" s="85"/>
      <c r="O38" s="85"/>
      <c r="P38" s="96">
        <f>SUM(P30:P37)</f>
        <v>12.581572000000001</v>
      </c>
      <c r="Q38" s="43"/>
      <c r="R38" s="43"/>
      <c r="S38" s="107"/>
      <c r="T38" s="81"/>
      <c r="U38" s="81"/>
      <c r="V38" s="81"/>
      <c r="W38" s="81"/>
      <c r="X38" s="81"/>
    </row>
    <row r="39" spans="1:26" ht="15" customHeight="1" x14ac:dyDescent="0.25">
      <c r="A39" s="85"/>
      <c r="B39" s="85" t="s">
        <v>34</v>
      </c>
      <c r="C39" s="85"/>
      <c r="D39" s="85">
        <f>D37+D38</f>
        <v>39977</v>
      </c>
      <c r="E39" s="85" t="s">
        <v>208</v>
      </c>
      <c r="F39" s="85"/>
      <c r="G39" s="85">
        <f>SUM(G31:G37)</f>
        <v>16839</v>
      </c>
      <c r="H39" s="85" t="s">
        <v>209</v>
      </c>
      <c r="I39" s="85"/>
      <c r="J39" s="85">
        <f>SUM(J31:J37)</f>
        <v>2186</v>
      </c>
      <c r="K39" s="96"/>
      <c r="L39" s="43"/>
      <c r="M39" s="43"/>
      <c r="N39" s="43"/>
      <c r="O39" s="43"/>
      <c r="P39" s="43"/>
      <c r="Q39" s="43"/>
      <c r="R39" s="43"/>
      <c r="S39" s="43"/>
      <c r="T39" s="81"/>
      <c r="U39" s="81"/>
      <c r="V39" s="81"/>
      <c r="W39" s="81"/>
      <c r="X39" s="81"/>
    </row>
    <row r="40" spans="1:26" ht="15" customHeight="1" x14ac:dyDescent="0.25">
      <c r="A40" s="28"/>
      <c r="B40" s="43"/>
      <c r="C40" s="43"/>
      <c r="D40" s="43"/>
      <c r="E40" s="43"/>
      <c r="F40" s="43"/>
      <c r="G40" s="43"/>
      <c r="H40" s="43"/>
      <c r="I40" s="43"/>
      <c r="J40" s="43"/>
      <c r="K40" s="43"/>
      <c r="L40" s="43"/>
      <c r="M40" s="43"/>
      <c r="N40" s="43"/>
      <c r="O40" s="43"/>
      <c r="P40" s="43"/>
      <c r="Q40" s="43"/>
      <c r="R40" s="43"/>
      <c r="S40" s="43"/>
      <c r="T40" s="43"/>
      <c r="U40" s="43"/>
      <c r="V40" s="43"/>
      <c r="W40" s="43"/>
      <c r="X40" s="43"/>
    </row>
    <row r="41" spans="1:26" ht="15" customHeight="1" x14ac:dyDescent="0.3">
      <c r="A41" s="15" t="s">
        <v>210</v>
      </c>
      <c r="B41" s="29"/>
      <c r="C41" s="30"/>
      <c r="D41" s="30"/>
      <c r="E41" s="30"/>
      <c r="F41" s="30"/>
      <c r="G41" s="30"/>
      <c r="H41" s="30"/>
      <c r="I41" s="16" t="s">
        <v>211</v>
      </c>
      <c r="J41" s="30"/>
      <c r="K41" s="30"/>
      <c r="L41" s="35"/>
      <c r="M41" s="43"/>
      <c r="N41" s="43"/>
      <c r="O41" s="43"/>
      <c r="P41" s="43"/>
      <c r="Q41" s="43"/>
      <c r="R41" s="43"/>
      <c r="S41" s="43"/>
      <c r="T41" s="43"/>
      <c r="U41" s="43"/>
      <c r="V41" s="43"/>
      <c r="W41" s="43"/>
      <c r="X41" s="43"/>
    </row>
    <row r="42" spans="1:26" ht="15.75" customHeight="1" x14ac:dyDescent="0.25">
      <c r="A42" s="19"/>
      <c r="B42" s="43"/>
      <c r="C42" s="62" t="s">
        <v>212</v>
      </c>
      <c r="D42" s="108" t="s">
        <v>671</v>
      </c>
      <c r="E42" s="108" t="s">
        <v>672</v>
      </c>
      <c r="F42" s="43" t="s">
        <v>191</v>
      </c>
      <c r="G42" s="62" t="s">
        <v>215</v>
      </c>
      <c r="H42" s="62" t="s">
        <v>216</v>
      </c>
      <c r="I42" s="62" t="s">
        <v>217</v>
      </c>
      <c r="J42" s="62" t="s">
        <v>218</v>
      </c>
      <c r="K42" s="62" t="s">
        <v>219</v>
      </c>
      <c r="L42" s="94" t="s">
        <v>220</v>
      </c>
      <c r="M42" s="43"/>
      <c r="O42" s="43"/>
      <c r="P42" s="43"/>
      <c r="S42" s="43"/>
      <c r="T42" s="43"/>
      <c r="U42" s="43"/>
      <c r="V42" s="43"/>
      <c r="W42" s="43"/>
      <c r="X42" s="43"/>
    </row>
    <row r="43" spans="1:26" ht="15" customHeight="1" x14ac:dyDescent="0.25">
      <c r="A43" s="19"/>
      <c r="B43" s="43" t="s">
        <v>3</v>
      </c>
      <c r="C43" s="109">
        <f>C11</f>
        <v>45657</v>
      </c>
      <c r="D43" s="36">
        <v>45565</v>
      </c>
      <c r="E43" s="36">
        <v>45930</v>
      </c>
      <c r="F43" s="43"/>
      <c r="G43" s="109">
        <f>C13</f>
        <v>45930</v>
      </c>
      <c r="H43" s="109">
        <f>C43</f>
        <v>45657</v>
      </c>
      <c r="I43" s="109">
        <f>EDATE(C43,12)</f>
        <v>46022</v>
      </c>
      <c r="J43" s="109">
        <f>EDATE(I43,12)</f>
        <v>46387</v>
      </c>
      <c r="K43" s="109">
        <f>EDATE(J43,12)</f>
        <v>46752</v>
      </c>
      <c r="L43" s="93">
        <f>EDATE(K43,12)</f>
        <v>47118</v>
      </c>
      <c r="M43" s="43"/>
      <c r="N43" s="43"/>
      <c r="O43" s="43"/>
      <c r="P43" s="43"/>
      <c r="Q43" s="43"/>
      <c r="R43" s="43"/>
      <c r="S43" s="43"/>
      <c r="T43" s="43"/>
      <c r="U43" s="43"/>
      <c r="V43" s="43"/>
      <c r="W43" s="43"/>
      <c r="X43" s="43"/>
      <c r="Y43" s="43"/>
      <c r="Z43" s="43"/>
    </row>
    <row r="44" spans="1:26" ht="15" customHeight="1" x14ac:dyDescent="0.25">
      <c r="A44" s="19"/>
      <c r="B44" s="43" t="s">
        <v>75</v>
      </c>
      <c r="C44" s="14">
        <v>15351</v>
      </c>
      <c r="D44" s="14">
        <v>11281</v>
      </c>
      <c r="E44" s="14">
        <v>12104</v>
      </c>
      <c r="F44" s="14">
        <v>0</v>
      </c>
      <c r="G44" s="43">
        <f>C44-D44+E44+F44</f>
        <v>16174</v>
      </c>
      <c r="H44" s="43">
        <f>C44</f>
        <v>15351</v>
      </c>
      <c r="I44" s="14">
        <v>16465.599999999999</v>
      </c>
      <c r="J44" s="53">
        <v>17216.2</v>
      </c>
      <c r="K44" s="53">
        <v>17827</v>
      </c>
      <c r="L44" s="37" t="s">
        <v>221</v>
      </c>
      <c r="M44" s="43"/>
      <c r="N44" s="43" t="s">
        <v>668</v>
      </c>
      <c r="O44" s="43"/>
      <c r="P44" s="43"/>
      <c r="Q44" s="43"/>
      <c r="R44" s="43"/>
      <c r="S44" s="43"/>
      <c r="T44" s="43"/>
      <c r="U44" s="43"/>
      <c r="V44" s="43"/>
      <c r="W44" s="43"/>
      <c r="X44" s="43"/>
      <c r="Y44" s="43"/>
      <c r="Z44" s="43"/>
    </row>
    <row r="45" spans="1:26" ht="15" customHeight="1" x14ac:dyDescent="0.25">
      <c r="A45" s="19"/>
      <c r="B45" s="43" t="s">
        <v>711</v>
      </c>
      <c r="C45" s="3">
        <v>3140</v>
      </c>
      <c r="D45" s="3">
        <v>0</v>
      </c>
      <c r="E45" s="3">
        <v>0</v>
      </c>
      <c r="F45" s="43"/>
      <c r="G45" s="43"/>
      <c r="H45" s="38"/>
      <c r="I45" s="43"/>
      <c r="J45" s="51"/>
      <c r="K45" s="51"/>
      <c r="L45" s="37"/>
      <c r="M45" s="43"/>
      <c r="N45" s="43"/>
      <c r="O45" s="43"/>
      <c r="P45" s="43"/>
      <c r="Q45" s="43"/>
      <c r="R45" s="43"/>
      <c r="S45" s="43"/>
      <c r="T45" s="43"/>
      <c r="U45" s="43"/>
      <c r="V45" s="43"/>
      <c r="W45" s="43"/>
      <c r="X45" s="43"/>
      <c r="Y45" s="43"/>
      <c r="Z45" s="43"/>
    </row>
    <row r="46" spans="1:26" ht="15" customHeight="1" x14ac:dyDescent="0.25">
      <c r="A46" s="19"/>
      <c r="B46" s="43" t="s">
        <v>15</v>
      </c>
      <c r="C46" s="14">
        <v>3974</v>
      </c>
      <c r="D46" s="14">
        <v>2845</v>
      </c>
      <c r="E46" s="14">
        <v>2966</v>
      </c>
      <c r="F46" s="43"/>
      <c r="G46" s="43"/>
      <c r="H46" s="43"/>
      <c r="I46" s="43"/>
      <c r="J46" s="51"/>
      <c r="K46" s="51"/>
      <c r="L46" s="94"/>
      <c r="M46" s="43"/>
      <c r="N46" s="43"/>
      <c r="O46" s="43"/>
      <c r="P46" s="43"/>
      <c r="Q46" s="43"/>
      <c r="R46" s="43"/>
      <c r="S46" s="43"/>
      <c r="T46" s="43"/>
      <c r="U46" s="43"/>
      <c r="V46" s="43"/>
      <c r="W46" s="43"/>
      <c r="X46" s="43"/>
      <c r="Y46" s="43"/>
      <c r="Z46" s="43"/>
    </row>
    <row r="47" spans="1:26" ht="15" customHeight="1" x14ac:dyDescent="0.25">
      <c r="A47" s="19"/>
      <c r="B47" s="7" t="s">
        <v>243</v>
      </c>
      <c r="C47" s="14">
        <v>-133</v>
      </c>
      <c r="D47" s="14">
        <v>-100</v>
      </c>
      <c r="E47" s="14">
        <v>-101</v>
      </c>
      <c r="F47" s="43"/>
      <c r="G47" s="43"/>
      <c r="H47" s="43"/>
      <c r="I47" s="43"/>
      <c r="J47" s="51"/>
      <c r="K47" s="51"/>
      <c r="L47" s="94"/>
      <c r="M47" s="43"/>
      <c r="N47" s="43"/>
      <c r="O47" s="43"/>
      <c r="P47" s="43"/>
      <c r="Q47" s="43"/>
      <c r="R47" s="43"/>
      <c r="S47" s="43"/>
      <c r="T47" s="43"/>
      <c r="U47" s="43"/>
      <c r="V47" s="43"/>
      <c r="W47" s="43"/>
      <c r="X47" s="43"/>
      <c r="Y47" s="43"/>
      <c r="Z47" s="43"/>
    </row>
    <row r="48" spans="1:26" ht="15" customHeight="1" x14ac:dyDescent="0.25">
      <c r="A48" s="19"/>
      <c r="B48" s="7" t="s">
        <v>244</v>
      </c>
      <c r="C48" s="14">
        <v>-14</v>
      </c>
      <c r="D48" s="14">
        <v>-11</v>
      </c>
      <c r="E48" s="14">
        <v>-10</v>
      </c>
      <c r="F48" s="43"/>
      <c r="G48" s="43"/>
      <c r="H48" s="43"/>
      <c r="I48" s="43"/>
      <c r="J48" s="51"/>
      <c r="K48" s="51"/>
      <c r="L48" s="94"/>
      <c r="M48" s="43"/>
      <c r="N48" s="43"/>
      <c r="O48" s="43"/>
      <c r="P48" s="43"/>
      <c r="Q48" s="43"/>
      <c r="R48" s="43"/>
      <c r="S48" s="43"/>
      <c r="T48" s="43"/>
      <c r="U48" s="43"/>
      <c r="V48" s="43"/>
      <c r="W48" s="43"/>
      <c r="X48" s="43"/>
      <c r="Y48" s="43"/>
      <c r="Z48" s="43"/>
    </row>
    <row r="49" spans="1:26" ht="15" customHeight="1" x14ac:dyDescent="0.25">
      <c r="A49" s="19"/>
      <c r="B49" s="7" t="s">
        <v>16</v>
      </c>
      <c r="C49" s="14">
        <v>0</v>
      </c>
      <c r="D49" s="14">
        <v>0</v>
      </c>
      <c r="E49" s="14">
        <v>0</v>
      </c>
      <c r="F49" s="43"/>
      <c r="G49" s="43"/>
      <c r="H49" s="43"/>
      <c r="I49" s="43"/>
      <c r="J49" s="51"/>
      <c r="K49" s="51"/>
      <c r="L49" s="94"/>
      <c r="M49" s="43"/>
      <c r="N49" s="43"/>
      <c r="O49" s="43"/>
      <c r="P49" s="43"/>
      <c r="Q49" s="43"/>
      <c r="R49" s="43"/>
      <c r="S49" s="43"/>
      <c r="T49" s="43"/>
      <c r="U49" s="43"/>
      <c r="V49" s="43"/>
      <c r="W49" s="43"/>
      <c r="X49" s="43"/>
      <c r="Y49" s="43"/>
      <c r="Z49" s="43"/>
    </row>
    <row r="50" spans="1:26" ht="15" customHeight="1" x14ac:dyDescent="0.25">
      <c r="A50" s="19">
        <v>1</v>
      </c>
      <c r="B50" s="7" t="s">
        <v>16</v>
      </c>
      <c r="C50" s="14">
        <v>0</v>
      </c>
      <c r="D50" s="14">
        <v>0</v>
      </c>
      <c r="E50" s="14">
        <v>0</v>
      </c>
      <c r="F50" s="43"/>
      <c r="G50" s="43"/>
      <c r="H50" s="43"/>
      <c r="I50" s="43"/>
      <c r="J50" s="51"/>
      <c r="K50" s="51"/>
      <c r="L50" s="94"/>
      <c r="M50" s="43"/>
      <c r="N50" s="43"/>
      <c r="O50" s="43"/>
      <c r="P50" s="43"/>
      <c r="Q50" s="43"/>
      <c r="R50" s="43"/>
      <c r="S50" s="43"/>
      <c r="T50" s="43"/>
      <c r="U50" s="43"/>
      <c r="V50" s="43"/>
      <c r="W50" s="43"/>
      <c r="X50" s="43"/>
      <c r="Y50" s="43"/>
      <c r="Z50" s="43"/>
    </row>
    <row r="51" spans="1:26" ht="15" customHeight="1" x14ac:dyDescent="0.25">
      <c r="A51" s="19"/>
      <c r="B51" s="7" t="s">
        <v>16</v>
      </c>
      <c r="C51" s="14">
        <v>0</v>
      </c>
      <c r="D51" s="14">
        <v>0</v>
      </c>
      <c r="E51" s="14">
        <v>0</v>
      </c>
      <c r="F51" s="43"/>
      <c r="G51" s="43"/>
      <c r="H51" s="43"/>
      <c r="I51" s="43"/>
      <c r="J51" s="51"/>
      <c r="K51" s="51"/>
      <c r="L51" s="94"/>
      <c r="M51" s="43"/>
      <c r="N51" s="43"/>
      <c r="O51" s="43"/>
      <c r="P51" s="43"/>
      <c r="Q51" s="43"/>
      <c r="R51" s="43"/>
      <c r="S51" s="43"/>
      <c r="T51" s="43"/>
      <c r="U51" s="43"/>
      <c r="V51" s="43"/>
      <c r="W51" s="43"/>
      <c r="X51" s="43"/>
      <c r="Y51" s="43"/>
      <c r="Z51" s="43"/>
    </row>
    <row r="52" spans="1:26" ht="15" customHeight="1" x14ac:dyDescent="0.25">
      <c r="A52" s="19"/>
      <c r="B52" s="7" t="s">
        <v>16</v>
      </c>
      <c r="C52" s="14">
        <v>0</v>
      </c>
      <c r="D52" s="14">
        <v>0</v>
      </c>
      <c r="E52" s="14">
        <v>0</v>
      </c>
      <c r="F52" s="43"/>
      <c r="G52" s="43"/>
      <c r="H52" s="43"/>
      <c r="J52" s="52"/>
      <c r="K52" s="51"/>
      <c r="L52" s="94"/>
      <c r="M52" s="43"/>
      <c r="N52" s="43"/>
      <c r="O52" s="43"/>
      <c r="P52" s="43"/>
      <c r="Q52" s="43"/>
      <c r="R52" s="43"/>
      <c r="S52" s="43"/>
      <c r="T52" s="43"/>
      <c r="U52" s="43"/>
      <c r="V52" s="43"/>
      <c r="W52" s="43"/>
      <c r="X52" s="43"/>
      <c r="Y52" s="43"/>
      <c r="Z52" s="43"/>
    </row>
    <row r="53" spans="1:26" ht="15" customHeight="1" x14ac:dyDescent="0.25">
      <c r="A53" s="19"/>
      <c r="B53" s="43" t="s">
        <v>17</v>
      </c>
      <c r="C53" s="43">
        <f>SUM(C46:C52)</f>
        <v>3827</v>
      </c>
      <c r="D53" s="43">
        <f>SUM(D46:D52)</f>
        <v>2734</v>
      </c>
      <c r="E53" s="43">
        <f>SUM(E46:E52)</f>
        <v>2855</v>
      </c>
      <c r="F53" s="43">
        <f>SUM(F46:F52)</f>
        <v>0</v>
      </c>
      <c r="G53" s="43">
        <f>C53-D53+E53+F53</f>
        <v>3948</v>
      </c>
      <c r="H53" s="43">
        <f>C53</f>
        <v>3827</v>
      </c>
      <c r="I53" s="43">
        <f>I55-I54</f>
        <v>4200.2</v>
      </c>
      <c r="J53" s="43">
        <f t="shared" ref="J53:K53" si="1">J55-J54</f>
        <v>4466.3999999999996</v>
      </c>
      <c r="K53" s="43">
        <f t="shared" si="1"/>
        <v>4698.7</v>
      </c>
      <c r="L53" s="37" t="s">
        <v>221</v>
      </c>
      <c r="M53" s="43"/>
      <c r="N53" s="43"/>
      <c r="O53" s="43"/>
      <c r="P53" s="43"/>
      <c r="Q53" s="43"/>
      <c r="R53" s="43"/>
      <c r="S53" s="43"/>
      <c r="T53" s="43"/>
      <c r="U53" s="43"/>
      <c r="V53" s="43"/>
      <c r="W53" s="43"/>
      <c r="X53" s="43"/>
      <c r="Y53" s="43"/>
      <c r="Z53" s="43"/>
    </row>
    <row r="54" spans="1:26" ht="15" customHeight="1" x14ac:dyDescent="0.25">
      <c r="A54" s="19"/>
      <c r="B54" s="43" t="s">
        <v>222</v>
      </c>
      <c r="C54" s="14">
        <f>422+133</f>
        <v>555</v>
      </c>
      <c r="D54" s="14">
        <f>310+100</f>
        <v>410</v>
      </c>
      <c r="E54" s="14">
        <f>336+101</f>
        <v>437</v>
      </c>
      <c r="F54" s="14">
        <v>0</v>
      </c>
      <c r="G54" s="43">
        <f>C54-D54+E54+F54</f>
        <v>582</v>
      </c>
      <c r="H54" s="43">
        <f>C54</f>
        <v>555</v>
      </c>
      <c r="I54" s="14">
        <v>600</v>
      </c>
      <c r="J54" s="53">
        <v>600</v>
      </c>
      <c r="K54" s="53">
        <v>600</v>
      </c>
      <c r="L54" s="37" t="s">
        <v>221</v>
      </c>
      <c r="M54" s="43"/>
      <c r="N54" s="43"/>
      <c r="O54" s="43"/>
      <c r="P54" s="43"/>
      <c r="Q54" s="43"/>
      <c r="R54" s="43"/>
      <c r="S54" s="43"/>
      <c r="T54" s="43"/>
      <c r="U54" s="43"/>
      <c r="V54" s="43"/>
      <c r="W54" s="43"/>
      <c r="X54" s="43"/>
      <c r="Y54" s="43"/>
      <c r="Z54" s="43"/>
    </row>
    <row r="55" spans="1:26" ht="15" customHeight="1" x14ac:dyDescent="0.25">
      <c r="A55" s="19"/>
      <c r="B55" s="43" t="s">
        <v>223</v>
      </c>
      <c r="C55" s="43">
        <f>C53+C54</f>
        <v>4382</v>
      </c>
      <c r="D55" s="43">
        <f>D53+D54</f>
        <v>3144</v>
      </c>
      <c r="E55" s="43">
        <f>E53+E54</f>
        <v>3292</v>
      </c>
      <c r="F55" s="43"/>
      <c r="G55" s="43">
        <f>C55-D55+E55+F55</f>
        <v>4530</v>
      </c>
      <c r="H55" s="43">
        <f>C55</f>
        <v>4382</v>
      </c>
      <c r="I55" s="14">
        <v>4800.2</v>
      </c>
      <c r="J55" s="53">
        <v>5066.3999999999996</v>
      </c>
      <c r="K55" s="53">
        <v>5298.7</v>
      </c>
      <c r="L55" s="37" t="s">
        <v>221</v>
      </c>
      <c r="M55" s="43"/>
      <c r="N55" s="43" t="s">
        <v>668</v>
      </c>
      <c r="O55" s="43"/>
      <c r="P55" s="43"/>
      <c r="Q55" s="43"/>
      <c r="R55" s="43"/>
      <c r="S55" s="43"/>
      <c r="T55" s="43"/>
      <c r="U55" s="43"/>
      <c r="V55" s="43"/>
      <c r="W55" s="43"/>
      <c r="X55" s="43"/>
      <c r="Y55" s="43"/>
      <c r="Z55" s="43"/>
    </row>
    <row r="56" spans="1:26" ht="15" customHeight="1" x14ac:dyDescent="0.25">
      <c r="A56" s="28"/>
      <c r="B56" s="85" t="s">
        <v>159</v>
      </c>
      <c r="C56" s="85"/>
      <c r="D56" s="110"/>
      <c r="E56" s="110"/>
      <c r="F56" s="110"/>
      <c r="G56" s="85"/>
      <c r="H56" s="151">
        <v>1.85</v>
      </c>
      <c r="I56" s="151">
        <v>2.04</v>
      </c>
      <c r="J56" s="151">
        <v>2.17</v>
      </c>
      <c r="K56" s="151">
        <v>2.31</v>
      </c>
      <c r="L56" s="39" t="s">
        <v>221</v>
      </c>
      <c r="M56" s="43"/>
      <c r="N56" s="43" t="s">
        <v>668</v>
      </c>
      <c r="O56" s="43"/>
      <c r="P56" s="43"/>
      <c r="Q56" s="43"/>
      <c r="R56" s="43"/>
      <c r="S56" s="43"/>
      <c r="T56" s="43"/>
      <c r="U56" s="43"/>
      <c r="V56" s="43"/>
      <c r="W56" s="43"/>
      <c r="X56" s="43"/>
      <c r="Y56" s="43"/>
      <c r="Z56" s="43"/>
    </row>
    <row r="57" spans="1:26" ht="15" customHeight="1" x14ac:dyDescent="0.25">
      <c r="A57" s="40"/>
      <c r="B57" s="43"/>
      <c r="C57" s="43"/>
      <c r="D57" s="43"/>
      <c r="E57" s="43"/>
      <c r="F57" s="43"/>
      <c r="G57" s="43"/>
      <c r="H57" s="43"/>
      <c r="I57" s="43"/>
      <c r="J57" s="43"/>
      <c r="K57" s="43"/>
      <c r="L57" s="43"/>
      <c r="M57" s="43"/>
      <c r="N57" s="43"/>
      <c r="O57" s="43"/>
      <c r="P57" s="43"/>
      <c r="Q57" s="43"/>
      <c r="R57" s="43"/>
      <c r="S57" s="43"/>
      <c r="T57" s="43"/>
      <c r="U57" s="43"/>
      <c r="V57" s="43"/>
      <c r="W57" s="43"/>
      <c r="X57" s="43"/>
      <c r="Y57" s="43"/>
      <c r="Z57" s="43"/>
    </row>
    <row r="58" spans="1:26" ht="15" customHeight="1" x14ac:dyDescent="0.3">
      <c r="A58" s="15" t="s">
        <v>224</v>
      </c>
      <c r="B58" s="29"/>
      <c r="C58" s="30"/>
      <c r="D58" s="30"/>
      <c r="E58" s="30"/>
      <c r="F58" s="30"/>
      <c r="G58" s="30"/>
      <c r="H58" s="30"/>
      <c r="I58" s="16"/>
      <c r="J58" s="30"/>
      <c r="K58" s="30"/>
      <c r="L58" s="66"/>
      <c r="M58" s="43"/>
      <c r="N58" s="43"/>
      <c r="O58" s="43"/>
      <c r="P58" s="43"/>
      <c r="Q58" s="43"/>
      <c r="R58" s="43"/>
      <c r="S58" s="43"/>
      <c r="T58" s="43"/>
      <c r="U58" s="43"/>
      <c r="V58" s="43"/>
      <c r="W58" s="43"/>
      <c r="X58" s="43"/>
      <c r="Y58" s="43"/>
      <c r="Z58" s="43"/>
    </row>
    <row r="59" spans="1:26" ht="15" customHeight="1" x14ac:dyDescent="0.25">
      <c r="A59" s="40"/>
      <c r="B59" s="43"/>
      <c r="C59" s="43" t="str">
        <f t="shared" ref="C59:L59" si="2">C42</f>
        <v>Annual</v>
      </c>
      <c r="D59" s="43" t="str">
        <f t="shared" si="2"/>
        <v>Last 9 months 2024</v>
      </c>
      <c r="E59" s="43" t="str">
        <f t="shared" si="2"/>
        <v>Last 9 months 2025</v>
      </c>
      <c r="F59" s="43" t="str">
        <f t="shared" si="2"/>
        <v>Other adjustments</v>
      </c>
      <c r="G59" s="43" t="str">
        <f t="shared" si="2"/>
        <v>Adj. LTM</v>
      </c>
      <c r="H59" s="43" t="str">
        <f t="shared" si="2"/>
        <v>Fiscal Year</v>
      </c>
      <c r="I59" s="43" t="str">
        <f t="shared" si="2"/>
        <v>FY +1</v>
      </c>
      <c r="J59" s="43" t="str">
        <f t="shared" si="2"/>
        <v>FY +2</v>
      </c>
      <c r="K59" s="43" t="str">
        <f t="shared" si="2"/>
        <v>FY +3</v>
      </c>
      <c r="L59" s="111" t="str">
        <f t="shared" si="2"/>
        <v>FY +4</v>
      </c>
      <c r="M59" s="43"/>
      <c r="N59" s="43"/>
      <c r="O59" s="43"/>
      <c r="P59" s="43"/>
      <c r="Q59" s="43"/>
      <c r="R59" s="43"/>
      <c r="S59" s="43"/>
      <c r="T59" s="43"/>
      <c r="U59" s="43"/>
      <c r="V59" s="43"/>
      <c r="W59" s="43"/>
      <c r="X59" s="43"/>
      <c r="Y59" s="43"/>
      <c r="Z59" s="43"/>
    </row>
    <row r="60" spans="1:26" ht="15" customHeight="1" x14ac:dyDescent="0.25">
      <c r="A60" s="40"/>
      <c r="B60" s="43"/>
      <c r="C60" s="112">
        <f>C43</f>
        <v>45657</v>
      </c>
      <c r="D60" s="112">
        <f>D43</f>
        <v>45565</v>
      </c>
      <c r="E60" s="112">
        <f>E43</f>
        <v>45930</v>
      </c>
      <c r="F60" s="43"/>
      <c r="G60" s="112">
        <f>C13</f>
        <v>45930</v>
      </c>
      <c r="H60" s="109">
        <f>C60</f>
        <v>45657</v>
      </c>
      <c r="I60" s="109">
        <f>EDATE(C60,12)</f>
        <v>46022</v>
      </c>
      <c r="J60" s="109">
        <f>EDATE(I60,12)</f>
        <v>46387</v>
      </c>
      <c r="K60" s="112">
        <f>EDATE(J60,12)</f>
        <v>46752</v>
      </c>
      <c r="L60" s="113">
        <f>EDATE(K60,12)</f>
        <v>47118</v>
      </c>
      <c r="M60" s="43"/>
      <c r="N60" s="43"/>
      <c r="O60" s="43"/>
      <c r="P60" s="43"/>
      <c r="Q60" s="43"/>
      <c r="R60" s="43"/>
      <c r="S60" s="43"/>
      <c r="T60" s="43"/>
      <c r="U60" s="43"/>
      <c r="V60" s="43"/>
      <c r="W60" s="43"/>
      <c r="X60" s="43"/>
      <c r="Y60" s="43"/>
      <c r="Z60" s="43"/>
    </row>
    <row r="61" spans="1:26" ht="15" customHeight="1" x14ac:dyDescent="0.25">
      <c r="A61" s="40"/>
      <c r="B61" s="43" t="s">
        <v>225</v>
      </c>
      <c r="C61" s="65">
        <v>0.33300000000000002</v>
      </c>
      <c r="D61" s="43"/>
      <c r="E61" s="43"/>
      <c r="F61" s="43"/>
      <c r="G61" s="43"/>
      <c r="H61" s="43"/>
      <c r="I61" s="43"/>
      <c r="J61" s="43"/>
      <c r="K61" s="43"/>
      <c r="L61" s="111"/>
      <c r="M61" s="43"/>
      <c r="N61" s="43"/>
      <c r="O61" s="43"/>
      <c r="P61" s="43"/>
      <c r="Q61" s="43"/>
      <c r="R61" s="43"/>
      <c r="S61" s="43"/>
      <c r="T61" s="43"/>
      <c r="U61" s="43"/>
      <c r="V61" s="43"/>
      <c r="W61" s="43"/>
      <c r="X61" s="43"/>
      <c r="Y61" s="43"/>
      <c r="Z61" s="43"/>
    </row>
    <row r="62" spans="1:26" ht="15" customHeight="1" x14ac:dyDescent="0.25">
      <c r="A62" s="40"/>
      <c r="B62" s="43" t="s">
        <v>226</v>
      </c>
      <c r="C62" s="70">
        <v>170</v>
      </c>
      <c r="D62" s="70">
        <v>127</v>
      </c>
      <c r="E62" s="70">
        <v>136</v>
      </c>
      <c r="F62" s="43"/>
      <c r="G62" s="43">
        <f>C62-D62+E62+F62</f>
        <v>179</v>
      </c>
      <c r="H62" s="43">
        <f>C62</f>
        <v>170</v>
      </c>
      <c r="I62" s="43">
        <f>H62/H44*I44</f>
        <v>182.34330011074198</v>
      </c>
      <c r="J62" s="43">
        <f>I62/I44*J44</f>
        <v>190.65559246954598</v>
      </c>
      <c r="K62" s="43">
        <f>J62/J44*K44</f>
        <v>197.41971207087488</v>
      </c>
      <c r="L62" s="37" t="s">
        <v>221</v>
      </c>
      <c r="M62" s="43"/>
      <c r="N62" s="43"/>
      <c r="O62" s="43"/>
      <c r="P62" s="43"/>
      <c r="Q62" s="43"/>
      <c r="R62" s="43"/>
      <c r="S62" s="43"/>
      <c r="T62" s="43"/>
      <c r="U62" s="43"/>
      <c r="V62" s="43"/>
      <c r="W62" s="43"/>
      <c r="X62" s="43"/>
      <c r="Y62" s="43"/>
      <c r="Z62" s="43"/>
    </row>
    <row r="63" spans="1:26" ht="15" customHeight="1" x14ac:dyDescent="0.25">
      <c r="A63" s="40"/>
      <c r="B63" s="43" t="s">
        <v>227</v>
      </c>
      <c r="C63" s="43">
        <f>C55+C62</f>
        <v>4552</v>
      </c>
      <c r="D63" s="43">
        <f>D55+D62</f>
        <v>3271</v>
      </c>
      <c r="E63" s="43">
        <f>E55+E62</f>
        <v>3428</v>
      </c>
      <c r="F63" s="43"/>
      <c r="G63" s="43">
        <f>C63-D63+E63+F63</f>
        <v>4709</v>
      </c>
      <c r="H63" s="43">
        <f>C63</f>
        <v>4552</v>
      </c>
      <c r="I63" s="43">
        <f>I55+I62</f>
        <v>4982.5433001107422</v>
      </c>
      <c r="J63" s="43">
        <f>J55+J62</f>
        <v>5257.0555924695454</v>
      </c>
      <c r="K63" s="43">
        <f>K55+K62</f>
        <v>5496.1197120708748</v>
      </c>
      <c r="L63" s="37" t="s">
        <v>221</v>
      </c>
      <c r="M63" s="43"/>
      <c r="N63" s="43"/>
      <c r="O63" s="43"/>
      <c r="P63" s="43"/>
      <c r="Q63" s="43"/>
      <c r="R63" s="43"/>
      <c r="S63" s="43"/>
      <c r="T63" s="43"/>
      <c r="U63" s="43"/>
      <c r="V63" s="43"/>
      <c r="W63" s="43"/>
      <c r="X63" s="43"/>
      <c r="Y63" s="43"/>
      <c r="Z63" s="43"/>
    </row>
    <row r="64" spans="1:26" ht="15" customHeight="1" x14ac:dyDescent="0.25">
      <c r="A64" s="40"/>
      <c r="B64" s="43" t="s">
        <v>228</v>
      </c>
      <c r="C64" s="43">
        <f>C53+$C$61*C62</f>
        <v>3883.61</v>
      </c>
      <c r="D64" s="43">
        <f>D53+$C$61*D62</f>
        <v>2776.2910000000002</v>
      </c>
      <c r="E64" s="43">
        <f>E53+$C$61*E62</f>
        <v>2900.288</v>
      </c>
      <c r="F64" s="43"/>
      <c r="G64" s="43">
        <f>C64-D64+E64+F64</f>
        <v>4007.607</v>
      </c>
      <c r="H64" s="43">
        <f>C64</f>
        <v>3883.61</v>
      </c>
      <c r="I64" s="43">
        <f>I53+$C$61*I62</f>
        <v>4260.9203189368773</v>
      </c>
      <c r="J64" s="43">
        <f>J53+$C$61*J62</f>
        <v>4529.888312292358</v>
      </c>
      <c r="K64" s="43">
        <f>K53+$C$61*K62</f>
        <v>4764.4407641196012</v>
      </c>
      <c r="L64" s="37" t="s">
        <v>221</v>
      </c>
      <c r="M64" s="43"/>
      <c r="N64" s="43"/>
      <c r="O64" s="43"/>
      <c r="P64" s="43"/>
      <c r="Q64" s="43"/>
      <c r="R64" s="43"/>
      <c r="S64" s="43"/>
      <c r="T64" s="43"/>
      <c r="U64" s="43"/>
      <c r="V64" s="43"/>
      <c r="W64" s="43"/>
      <c r="X64" s="43"/>
      <c r="Y64" s="43"/>
      <c r="Z64" s="43"/>
    </row>
    <row r="65" spans="1:26" ht="15" customHeight="1" x14ac:dyDescent="0.25">
      <c r="A65" s="40"/>
      <c r="B65" s="43" t="s">
        <v>229</v>
      </c>
      <c r="C65" s="43"/>
      <c r="D65" s="43"/>
      <c r="E65" s="43"/>
      <c r="F65" s="43"/>
      <c r="G65" s="70">
        <f>790+128</f>
        <v>918</v>
      </c>
      <c r="H65" s="43"/>
      <c r="I65" s="43"/>
      <c r="J65" s="43"/>
      <c r="K65" s="43"/>
      <c r="L65" s="111"/>
      <c r="M65" s="43"/>
      <c r="N65" s="43"/>
      <c r="O65" s="43"/>
      <c r="P65" s="43"/>
      <c r="Q65" s="43"/>
      <c r="R65" s="43"/>
      <c r="S65" s="43"/>
      <c r="T65" s="43"/>
      <c r="U65" s="43"/>
      <c r="V65" s="43"/>
      <c r="W65" s="43"/>
      <c r="X65" s="43"/>
      <c r="Y65" s="43"/>
      <c r="Z65" s="43"/>
    </row>
    <row r="66" spans="1:26" ht="15" customHeight="1" x14ac:dyDescent="0.25">
      <c r="A66" s="40"/>
      <c r="B66" s="43"/>
      <c r="C66" s="43"/>
      <c r="D66" s="43"/>
      <c r="E66" s="43"/>
      <c r="F66" s="43"/>
      <c r="G66" s="43"/>
      <c r="H66" s="43"/>
      <c r="I66" s="43"/>
      <c r="J66" s="43"/>
      <c r="K66" s="43"/>
      <c r="L66" s="111"/>
      <c r="M66" s="43"/>
      <c r="N66" s="43"/>
      <c r="O66" s="43"/>
      <c r="P66" s="43"/>
      <c r="Q66" s="43"/>
      <c r="R66" s="43"/>
      <c r="S66" s="43"/>
      <c r="T66" s="43"/>
      <c r="U66" s="43"/>
      <c r="V66" s="43"/>
      <c r="W66" s="43"/>
      <c r="X66" s="43"/>
      <c r="Y66" s="43"/>
      <c r="Z66" s="43"/>
    </row>
    <row r="67" spans="1:26" ht="15" customHeight="1" x14ac:dyDescent="0.25">
      <c r="A67" s="40"/>
      <c r="B67" s="43" t="str">
        <f>"Calendarized EBITDAR in "&amp;MAIN_CURRENCY&amp;" MM"</f>
        <v>Calendarized EBITDAR in USD MM</v>
      </c>
      <c r="C67" s="43"/>
      <c r="D67" s="43"/>
      <c r="E67" s="43"/>
      <c r="F67" s="43"/>
      <c r="G67" s="43">
        <f>G63*COMP_FX</f>
        <v>4709</v>
      </c>
      <c r="H67" s="43"/>
      <c r="I67" s="43">
        <f>IF(I$80&gt;0,SUMPRODUCT('2'!COMP_CALENDARIZE_PERCENTAGES,H63:J63)*I$81*'2'!COMP_FX,"N/A")</f>
        <v>5257.0555924695454</v>
      </c>
      <c r="J67" s="43">
        <f>IF(J$80&gt;0,SUMPRODUCT('2'!COMP_CALENDARIZE_PERCENTAGES,I63:K63)*J$81*'2'!COMP_FX,"N/A")</f>
        <v>5496.1197120708748</v>
      </c>
      <c r="K67" s="43" t="str">
        <f>IF(K$80&gt;0,SUMPRODUCT('2'!COMP_CALENDARIZE_PERCENTAGES,J63:L63)*K$81*'2'!COMP_FX,"N/A")</f>
        <v>N/A</v>
      </c>
      <c r="L67" s="111"/>
      <c r="M67" s="43"/>
      <c r="N67" s="43"/>
      <c r="O67" s="43"/>
      <c r="P67" s="43"/>
      <c r="Q67" s="43"/>
      <c r="R67" s="43"/>
      <c r="S67" s="43"/>
      <c r="T67" s="43"/>
      <c r="U67" s="43"/>
      <c r="V67" s="43"/>
      <c r="W67" s="43"/>
      <c r="X67" s="43"/>
      <c r="Y67" s="43"/>
      <c r="Z67" s="43"/>
    </row>
    <row r="68" spans="1:26" ht="15" customHeight="1" x14ac:dyDescent="0.25">
      <c r="A68" s="40"/>
      <c r="B68" s="43" t="str">
        <f>"Calendarized EBITR in "&amp;MAIN_CURRENCY&amp;" MM"</f>
        <v>Calendarized EBITR in USD MM</v>
      </c>
      <c r="C68" s="43"/>
      <c r="D68" s="43"/>
      <c r="E68" s="43"/>
      <c r="F68" s="43"/>
      <c r="G68" s="43">
        <f>G64*COMP_FX</f>
        <v>4007.607</v>
      </c>
      <c r="H68" s="43"/>
      <c r="I68" s="43">
        <f>IF(I$80&gt;0,SUMPRODUCT('2'!COMP_CALENDARIZE_PERCENTAGES,H64:J64)*I$81*'2'!COMP_FX,"N/A")</f>
        <v>4529.888312292358</v>
      </c>
      <c r="J68" s="43">
        <f>IF(J$80&gt;0,SUMPRODUCT('2'!COMP_CALENDARIZE_PERCENTAGES,I64:K64)*J$81*'2'!COMP_FX,"N/A")</f>
        <v>4764.4407641196012</v>
      </c>
      <c r="K68" s="43" t="str">
        <f>IF(K$80&gt;0,SUMPRODUCT('2'!COMP_CALENDARIZE_PERCENTAGES,J64:L64)*K$81*'2'!COMP_FX,"N/A")</f>
        <v>N/A</v>
      </c>
      <c r="L68" s="111"/>
      <c r="M68" s="43"/>
      <c r="N68" s="43"/>
      <c r="O68" s="43"/>
      <c r="P68" s="43"/>
      <c r="Q68" s="43"/>
      <c r="R68" s="43"/>
      <c r="S68" s="43"/>
      <c r="T68" s="43"/>
      <c r="U68" s="43"/>
      <c r="V68" s="43"/>
      <c r="W68" s="43"/>
      <c r="X68" s="43"/>
      <c r="Y68" s="43"/>
      <c r="Z68" s="43"/>
    </row>
    <row r="69" spans="1:26" ht="15" customHeight="1" x14ac:dyDescent="0.25">
      <c r="A69" s="40"/>
      <c r="B69" s="43" t="str">
        <f>"Operating lease liabilities in "&amp;MAIN_CURRENCY&amp;" MM"</f>
        <v>Operating lease liabilities in USD MM</v>
      </c>
      <c r="C69" s="43"/>
      <c r="D69" s="43"/>
      <c r="E69" s="43"/>
      <c r="F69" s="43"/>
      <c r="G69" s="43">
        <f>G65*COMP_FX</f>
        <v>918</v>
      </c>
      <c r="H69" s="43"/>
      <c r="I69" s="43"/>
      <c r="J69" s="43"/>
      <c r="K69" s="43"/>
      <c r="L69" s="111"/>
      <c r="M69" s="43"/>
      <c r="N69" s="43"/>
      <c r="O69" s="43"/>
      <c r="P69" s="43"/>
      <c r="Q69" s="43"/>
      <c r="R69" s="43"/>
      <c r="S69" s="43"/>
      <c r="T69" s="43"/>
      <c r="U69" s="43"/>
      <c r="V69" s="43"/>
      <c r="W69" s="43"/>
      <c r="X69" s="43"/>
      <c r="Y69" s="43"/>
      <c r="Z69" s="43"/>
    </row>
    <row r="70" spans="1:26" ht="15" customHeight="1" x14ac:dyDescent="0.25">
      <c r="A70" s="40"/>
      <c r="B70" s="43"/>
      <c r="C70" s="43"/>
      <c r="D70" s="43"/>
      <c r="E70" s="43"/>
      <c r="F70" s="43"/>
      <c r="G70" s="43"/>
      <c r="H70" s="43"/>
      <c r="I70" s="43"/>
      <c r="J70" s="43"/>
      <c r="K70" s="43"/>
      <c r="L70" s="111"/>
      <c r="M70" s="43"/>
      <c r="N70" s="43"/>
      <c r="O70" s="43"/>
      <c r="P70" s="43"/>
      <c r="Q70" s="43"/>
      <c r="R70" s="43"/>
      <c r="S70" s="43"/>
      <c r="T70" s="43"/>
      <c r="U70" s="43"/>
      <c r="V70" s="43"/>
      <c r="W70" s="43"/>
      <c r="X70" s="43"/>
      <c r="Y70" s="43"/>
      <c r="Z70" s="43"/>
    </row>
    <row r="71" spans="1:26" ht="15" customHeight="1" x14ac:dyDescent="0.25">
      <c r="A71" s="40"/>
      <c r="B71" s="43" t="str">
        <f>"EVR in "&amp;MAIN_CURRENCY&amp;" MM"</f>
        <v>EVR in USD MM</v>
      </c>
      <c r="C71" s="43"/>
      <c r="D71" s="43"/>
      <c r="E71" s="43"/>
      <c r="F71" s="43"/>
      <c r="G71" s="43">
        <f>COMP_EV+(G69*COMP_FX)</f>
        <v>56075.205149380003</v>
      </c>
      <c r="H71" s="43"/>
      <c r="I71" s="43"/>
      <c r="J71" s="43"/>
      <c r="K71" s="43"/>
      <c r="L71" s="111"/>
      <c r="M71" s="43"/>
      <c r="N71" s="43"/>
      <c r="O71" s="43"/>
      <c r="P71" s="43"/>
      <c r="Q71" s="43"/>
      <c r="R71" s="43"/>
      <c r="S71" s="43"/>
      <c r="T71" s="43"/>
      <c r="U71" s="43"/>
      <c r="V71" s="43"/>
      <c r="W71" s="43"/>
      <c r="X71" s="43"/>
      <c r="Y71" s="43"/>
      <c r="Z71" s="43"/>
    </row>
    <row r="72" spans="1:26" ht="15" customHeight="1" x14ac:dyDescent="0.25">
      <c r="A72" s="40"/>
      <c r="B72" s="43" t="s">
        <v>230</v>
      </c>
      <c r="C72" s="43"/>
      <c r="D72" s="43"/>
      <c r="E72" s="43"/>
      <c r="F72" s="43"/>
      <c r="G72" s="114">
        <f>IF(ISNUMBER(G67),EVR/G67,"N/A")</f>
        <v>11.908091983304312</v>
      </c>
      <c r="H72" s="114"/>
      <c r="I72" s="114">
        <f t="shared" ref="I72:K73" si="3">IF(ISNUMBER(I67),EVR/I67,"N/A")</f>
        <v>10.666656298956545</v>
      </c>
      <c r="J72" s="114">
        <f t="shared" si="3"/>
        <v>10.202689913435584</v>
      </c>
      <c r="K72" s="114" t="str">
        <f t="shared" si="3"/>
        <v>N/A</v>
      </c>
      <c r="L72" s="37" t="s">
        <v>221</v>
      </c>
      <c r="M72" s="43"/>
      <c r="N72" s="43"/>
      <c r="O72" s="43"/>
      <c r="P72" s="43"/>
      <c r="Q72" s="43"/>
      <c r="R72" s="43"/>
      <c r="S72" s="43"/>
      <c r="T72" s="43"/>
      <c r="U72" s="43"/>
      <c r="V72" s="43"/>
      <c r="W72" s="43"/>
      <c r="X72" s="43"/>
      <c r="Y72" s="43"/>
      <c r="Z72" s="43"/>
    </row>
    <row r="73" spans="1:26" ht="15" customHeight="1" x14ac:dyDescent="0.25">
      <c r="A73" s="40"/>
      <c r="B73" s="43" t="s">
        <v>231</v>
      </c>
      <c r="C73" s="43"/>
      <c r="D73" s="43"/>
      <c r="E73" s="43"/>
      <c r="F73" s="43"/>
      <c r="G73" s="114">
        <f>IF(ISNUMBER(G68),EVR/G68,"N/A")</f>
        <v>13.992191636899527</v>
      </c>
      <c r="H73" s="114"/>
      <c r="I73" s="114">
        <f t="shared" si="3"/>
        <v>12.378937687539375</v>
      </c>
      <c r="J73" s="114">
        <f t="shared" si="3"/>
        <v>11.76952509760962</v>
      </c>
      <c r="K73" s="114" t="str">
        <f t="shared" si="3"/>
        <v>N/A</v>
      </c>
      <c r="L73" s="37" t="s">
        <v>221</v>
      </c>
      <c r="M73" s="43"/>
      <c r="N73" s="43"/>
      <c r="O73" s="43"/>
      <c r="P73" s="43"/>
      <c r="Q73" s="43"/>
      <c r="R73" s="43"/>
      <c r="S73" s="43"/>
      <c r="T73" s="43"/>
      <c r="U73" s="43"/>
      <c r="V73" s="43"/>
      <c r="W73" s="43"/>
      <c r="X73" s="43"/>
      <c r="Y73" s="43"/>
      <c r="Z73" s="43"/>
    </row>
    <row r="74" spans="1:26" ht="15" customHeight="1" x14ac:dyDescent="0.25">
      <c r="A74" s="67"/>
      <c r="B74" s="115"/>
      <c r="C74" s="115"/>
      <c r="D74" s="115"/>
      <c r="E74" s="115"/>
      <c r="F74" s="115"/>
      <c r="G74" s="115"/>
      <c r="H74" s="115"/>
      <c r="I74" s="115"/>
      <c r="J74" s="115"/>
      <c r="K74" s="115"/>
      <c r="L74" s="116"/>
      <c r="M74" s="43"/>
      <c r="N74" s="43"/>
      <c r="O74" s="43"/>
      <c r="P74" s="43"/>
      <c r="Q74" s="43"/>
      <c r="R74" s="43"/>
      <c r="S74" s="43"/>
      <c r="T74" s="43"/>
      <c r="U74" s="43"/>
      <c r="V74" s="43"/>
      <c r="W74" s="43"/>
      <c r="X74" s="43"/>
      <c r="Y74" s="43"/>
      <c r="Z74" s="43"/>
    </row>
    <row r="75" spans="1:26" ht="15" customHeight="1" x14ac:dyDescent="0.25">
      <c r="A75" s="43"/>
      <c r="B75" s="43"/>
      <c r="C75" s="43"/>
      <c r="D75" s="43"/>
      <c r="E75" s="43"/>
      <c r="F75" s="43"/>
      <c r="G75" s="43"/>
      <c r="H75" s="43"/>
      <c r="I75" s="43"/>
      <c r="J75" s="43"/>
      <c r="K75" s="43"/>
      <c r="L75" s="43"/>
      <c r="M75" s="43"/>
      <c r="N75" s="43"/>
      <c r="O75" s="43"/>
      <c r="P75" s="43"/>
      <c r="Q75" s="43"/>
      <c r="R75" s="43"/>
      <c r="S75" s="43"/>
      <c r="T75" s="43"/>
      <c r="U75" s="43"/>
      <c r="V75" s="43"/>
      <c r="W75" s="43"/>
      <c r="X75" s="43"/>
      <c r="Y75" s="43"/>
      <c r="Z75" s="43"/>
    </row>
    <row r="76" spans="1:26" ht="15" customHeight="1" x14ac:dyDescent="0.25">
      <c r="A76" s="9"/>
      <c r="E76" s="15" t="s">
        <v>232</v>
      </c>
      <c r="F76" s="16"/>
      <c r="G76" s="16"/>
      <c r="H76" s="16"/>
      <c r="I76" s="16"/>
      <c r="J76" s="16"/>
      <c r="K76" s="16"/>
      <c r="L76" s="17"/>
      <c r="M76" s="43"/>
      <c r="N76" s="43"/>
      <c r="O76" s="43"/>
      <c r="P76" s="43"/>
      <c r="Q76" s="43"/>
      <c r="R76" s="43"/>
      <c r="S76" s="43"/>
      <c r="T76" s="43"/>
      <c r="U76" s="43"/>
      <c r="V76" s="43"/>
      <c r="W76" s="43"/>
      <c r="X76" s="43"/>
      <c r="Y76" s="43"/>
      <c r="Z76" s="43"/>
    </row>
    <row r="77" spans="1:26" ht="15" customHeight="1" x14ac:dyDescent="0.25">
      <c r="A77" s="9"/>
      <c r="E77" s="90"/>
      <c r="F77" s="43"/>
      <c r="G77" s="43"/>
      <c r="H77" s="43"/>
      <c r="I77" s="43"/>
      <c r="J77" s="43"/>
      <c r="K77" s="43"/>
      <c r="L77" s="91"/>
      <c r="M77" s="43"/>
      <c r="N77" s="43"/>
      <c r="O77" s="43"/>
      <c r="P77" s="43"/>
      <c r="Q77" s="43"/>
      <c r="R77" s="43"/>
      <c r="S77" s="43"/>
      <c r="T77" s="43"/>
      <c r="U77" s="43"/>
      <c r="V77" s="43"/>
      <c r="W77" s="43"/>
      <c r="X77" s="43"/>
      <c r="Y77" s="43"/>
      <c r="Z77" s="43"/>
    </row>
    <row r="78" spans="1:26" ht="15" customHeight="1" x14ac:dyDescent="0.25">
      <c r="A78" s="9"/>
      <c r="E78" s="90" t="s">
        <v>233</v>
      </c>
      <c r="F78" s="43"/>
      <c r="G78" s="109">
        <f>C11</f>
        <v>45657</v>
      </c>
      <c r="H78" s="43"/>
      <c r="I78" s="62" t="s">
        <v>234</v>
      </c>
      <c r="J78" s="62" t="s">
        <v>235</v>
      </c>
      <c r="K78" s="62" t="s">
        <v>236</v>
      </c>
      <c r="L78" s="91"/>
      <c r="M78" s="43"/>
      <c r="N78" s="43"/>
      <c r="O78" s="43"/>
      <c r="P78" s="43"/>
      <c r="Q78" s="43"/>
      <c r="R78" s="43"/>
      <c r="S78" s="43"/>
      <c r="T78" s="43"/>
      <c r="U78" s="43"/>
      <c r="V78" s="43"/>
      <c r="W78" s="43"/>
      <c r="X78" s="43"/>
      <c r="Y78" s="43"/>
      <c r="Z78" s="43"/>
    </row>
    <row r="79" spans="1:26" ht="15" customHeight="1" x14ac:dyDescent="0.25">
      <c r="A79" s="9"/>
      <c r="E79" s="90" t="s">
        <v>145</v>
      </c>
      <c r="F79" s="43"/>
      <c r="G79" s="109">
        <f>C8</f>
        <v>46022</v>
      </c>
      <c r="H79" s="43"/>
      <c r="I79" s="117">
        <f>-MIN((G79-G78)/365,0)</f>
        <v>0</v>
      </c>
      <c r="J79" s="117">
        <f>1-I79-K79</f>
        <v>0</v>
      </c>
      <c r="K79" s="117">
        <f>MAX((G79-G78)/365,0)</f>
        <v>1</v>
      </c>
      <c r="L79" s="91"/>
      <c r="M79" s="43"/>
      <c r="N79" s="43"/>
      <c r="O79" s="43"/>
      <c r="P79" s="43"/>
      <c r="Q79" s="43"/>
      <c r="R79" s="43"/>
      <c r="S79" s="43"/>
      <c r="T79" s="43"/>
      <c r="U79" s="43"/>
      <c r="V79" s="43"/>
      <c r="W79" s="43"/>
      <c r="X79" s="43"/>
      <c r="Y79" s="43"/>
      <c r="Z79" s="43"/>
    </row>
    <row r="80" spans="1:26" ht="15" customHeight="1" x14ac:dyDescent="0.25">
      <c r="A80" s="9"/>
      <c r="E80" s="90" t="s">
        <v>237</v>
      </c>
      <c r="F80" s="43"/>
      <c r="G80" s="43"/>
      <c r="H80" s="43"/>
      <c r="I80" s="43">
        <f>IF(SUMPRODUCT('2'!COMP_CALENDARIZE_PERCENTAGES,H81:J81)=1,1,0)</f>
        <v>1</v>
      </c>
      <c r="J80" s="43">
        <f>IF(SUMPRODUCT('2'!COMP_CALENDARIZE_PERCENTAGES,I81:K81)=1,1,0)</f>
        <v>1</v>
      </c>
      <c r="K80" s="43">
        <f>IF(SUMPRODUCT('2'!COMP_CALENDARIZE_PERCENTAGES,J81:L81)=1,1,0)</f>
        <v>0</v>
      </c>
      <c r="L80" s="91">
        <f>IF(SUMPRODUCT('2'!COMP_CALENDARIZE_PERCENTAGES,K81:M81)=1,1,0)</f>
        <v>0</v>
      </c>
      <c r="M80" s="43"/>
      <c r="N80" s="43"/>
      <c r="O80" s="43"/>
      <c r="P80" s="43"/>
      <c r="Q80" s="43"/>
      <c r="R80" s="43"/>
      <c r="S80" s="43"/>
      <c r="T80" s="43"/>
      <c r="U80" s="43"/>
      <c r="V80" s="43"/>
      <c r="W80" s="43"/>
      <c r="X80" s="43"/>
      <c r="Y80" s="43"/>
      <c r="Z80" s="43"/>
    </row>
    <row r="81" spans="1:26" ht="15" customHeight="1" x14ac:dyDescent="0.25">
      <c r="A81" s="9"/>
      <c r="E81" s="99" t="s">
        <v>238</v>
      </c>
      <c r="F81" s="85"/>
      <c r="G81" s="85"/>
      <c r="H81" s="85">
        <f>IF(OR(H44=0,H44="N/A"),0,1)</f>
        <v>1</v>
      </c>
      <c r="I81" s="85">
        <f>IF(OR(I44=0,I44="N/A"),0,1)</f>
        <v>1</v>
      </c>
      <c r="J81" s="85">
        <f>IF(OR(J44=0,J44="N/A"),0,1)</f>
        <v>1</v>
      </c>
      <c r="K81" s="85">
        <f>IF(OR(K44=0,K44="N/A"),0,1)</f>
        <v>1</v>
      </c>
      <c r="L81" s="96">
        <f>IF(OR(L44=0,L44="N/A"),0,1)</f>
        <v>0</v>
      </c>
      <c r="M81" s="43"/>
      <c r="N81" s="43"/>
      <c r="O81" s="43"/>
      <c r="P81" s="43"/>
      <c r="Q81" s="43"/>
      <c r="R81" s="43"/>
      <c r="S81" s="43"/>
      <c r="T81" s="43"/>
      <c r="U81" s="43"/>
      <c r="V81" s="43"/>
      <c r="W81" s="43"/>
      <c r="X81" s="43"/>
      <c r="Y81" s="43"/>
      <c r="Z81" s="43"/>
    </row>
    <row r="82" spans="1:26" ht="15" customHeight="1" x14ac:dyDescent="0.25">
      <c r="A82" s="9"/>
      <c r="E82" s="43"/>
      <c r="F82" s="43"/>
      <c r="G82" s="43"/>
      <c r="H82" s="43"/>
      <c r="I82" s="43"/>
      <c r="J82" s="43"/>
      <c r="K82" s="43"/>
      <c r="L82" s="43"/>
      <c r="M82" s="43"/>
      <c r="N82" s="43"/>
      <c r="O82" s="43"/>
      <c r="P82" s="43"/>
      <c r="Q82" s="43"/>
      <c r="R82" s="43"/>
      <c r="S82" s="43"/>
      <c r="T82" s="43"/>
      <c r="U82" s="43"/>
      <c r="V82" s="43"/>
      <c r="W82" s="43"/>
      <c r="X82" s="43"/>
    </row>
    <row r="83" spans="1:26" ht="15" customHeight="1" x14ac:dyDescent="0.25">
      <c r="A83" s="9" t="s">
        <v>38</v>
      </c>
    </row>
  </sheetData>
  <printOptions gridLines="1"/>
  <pageMargins left="0.31496062992125984" right="0.11811023622047245" top="0.74803149606299213" bottom="0.74803149606299213" header="0" footer="0"/>
  <pageSetup paperSize="9" scale="45" fitToHeight="0" orientation="landscape" r:id="rId1"/>
  <headerFooter>
    <oddHeader>&amp;R&amp;F  &amp;A</oddHeader>
    <oddFooter>&amp;L© 2016&amp;CPage &amp;P of</oddFooter>
  </headerFooter>
  <rowBreaks count="1" manualBreakCount="1">
    <brk id="57" max="21" man="1"/>
  </rowBreaks>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FC8F7-9854-4064-BCA4-67132696F82A}">
  <sheetPr>
    <tabColor theme="4"/>
    <pageSetUpPr fitToPage="1"/>
  </sheetPr>
  <dimension ref="A1:Z83"/>
  <sheetViews>
    <sheetView zoomScaleNormal="100" zoomScaleSheetLayoutView="85" workbookViewId="0"/>
  </sheetViews>
  <sheetFormatPr defaultColWidth="12.5703125" defaultRowHeight="15" customHeight="1" x14ac:dyDescent="0.25"/>
  <cols>
    <col min="1" max="1" width="1.5703125" customWidth="1"/>
    <col min="2" max="2" width="50.5703125" customWidth="1"/>
    <col min="3" max="3" width="20.5703125" customWidth="1"/>
    <col min="4" max="4" width="21.85546875" customWidth="1"/>
    <col min="5" max="5" width="15.5703125" customWidth="1"/>
    <col min="6" max="12" width="11" customWidth="1"/>
    <col min="13" max="13" width="20.5703125" bestFit="1" customWidth="1"/>
    <col min="14" max="16" width="11" customWidth="1"/>
    <col min="17" max="26" width="12.5703125" customWidth="1"/>
  </cols>
  <sheetData>
    <row r="1" spans="1:26" ht="30" customHeight="1" x14ac:dyDescent="0.45">
      <c r="A1" s="180" t="s">
        <v>271</v>
      </c>
      <c r="B1" s="72"/>
      <c r="C1" s="72"/>
      <c r="D1" s="72"/>
      <c r="E1" s="72"/>
      <c r="F1" s="72"/>
      <c r="G1" s="72"/>
      <c r="H1" s="72"/>
      <c r="I1" s="72"/>
      <c r="J1" s="72"/>
      <c r="K1" s="72"/>
      <c r="L1" s="72"/>
      <c r="M1" s="72"/>
      <c r="N1" s="72"/>
      <c r="O1" s="72"/>
      <c r="P1" s="72"/>
      <c r="Q1" s="12"/>
      <c r="R1" s="12"/>
      <c r="S1" s="12"/>
      <c r="T1" s="12"/>
      <c r="U1" s="12"/>
      <c r="V1" s="12"/>
      <c r="W1" s="12"/>
      <c r="X1" s="12"/>
      <c r="Y1" s="12"/>
      <c r="Z1" s="12"/>
    </row>
    <row r="2" spans="1:26" ht="15" customHeight="1" x14ac:dyDescent="0.3">
      <c r="A2" s="43"/>
      <c r="B2" s="43"/>
      <c r="C2" s="13"/>
      <c r="D2" s="43"/>
      <c r="E2" s="43" t="s">
        <v>135</v>
      </c>
      <c r="F2" s="13"/>
      <c r="G2" s="14" t="s">
        <v>650</v>
      </c>
      <c r="H2" s="14"/>
      <c r="I2" s="43"/>
      <c r="J2" s="43"/>
      <c r="K2" s="43"/>
      <c r="L2" s="43"/>
      <c r="M2" s="43"/>
      <c r="N2" s="43"/>
      <c r="O2" s="13"/>
      <c r="P2" s="13"/>
      <c r="Q2" s="13"/>
      <c r="R2" s="13"/>
      <c r="S2" s="13"/>
      <c r="T2" s="13"/>
      <c r="U2" s="13"/>
      <c r="V2" s="13"/>
      <c r="W2" s="13"/>
      <c r="X2" s="13"/>
      <c r="Y2" s="13"/>
      <c r="Z2" s="13"/>
    </row>
    <row r="3" spans="1:26" ht="15" customHeight="1" x14ac:dyDescent="0.3">
      <c r="A3" s="43"/>
      <c r="B3" s="43"/>
      <c r="C3" s="13"/>
      <c r="D3" s="43"/>
      <c r="E3" s="43"/>
      <c r="F3" s="43"/>
      <c r="G3" s="13"/>
      <c r="H3" s="13"/>
      <c r="I3" s="13"/>
      <c r="J3" s="13"/>
      <c r="K3" s="13"/>
      <c r="L3" s="13"/>
      <c r="M3" s="13"/>
      <c r="N3" s="13"/>
      <c r="O3" s="13"/>
      <c r="P3" s="13"/>
      <c r="Q3" s="13"/>
      <c r="R3" s="13"/>
      <c r="S3" s="13"/>
      <c r="T3" s="13"/>
      <c r="U3" s="13"/>
      <c r="V3" s="13"/>
      <c r="W3" s="13"/>
      <c r="X3" s="13"/>
      <c r="Y3" s="13"/>
      <c r="Z3" s="13"/>
    </row>
    <row r="4" spans="1:26" ht="15" customHeight="1" x14ac:dyDescent="0.25">
      <c r="A4" s="15" t="s">
        <v>136</v>
      </c>
      <c r="B4" s="16"/>
      <c r="C4" s="17"/>
      <c r="D4" s="43"/>
      <c r="E4" s="15" t="s">
        <v>137</v>
      </c>
      <c r="F4" s="16"/>
      <c r="G4" s="16"/>
      <c r="H4" s="17"/>
      <c r="I4" s="43"/>
      <c r="J4" s="43"/>
      <c r="K4" s="43"/>
      <c r="L4" s="43"/>
      <c r="M4" s="18"/>
      <c r="N4" s="43"/>
      <c r="O4" s="43"/>
      <c r="P4" s="43"/>
      <c r="Q4" s="43"/>
      <c r="R4" s="43"/>
      <c r="S4" s="43"/>
      <c r="T4" s="43"/>
      <c r="U4" s="43"/>
      <c r="V4" s="43"/>
      <c r="W4" s="43"/>
      <c r="X4" s="43"/>
    </row>
    <row r="5" spans="1:26" ht="15" customHeight="1" x14ac:dyDescent="0.25">
      <c r="A5" s="19"/>
      <c r="B5" s="43" t="s">
        <v>138</v>
      </c>
      <c r="C5" s="20" t="s">
        <v>272</v>
      </c>
      <c r="D5" s="43"/>
      <c r="E5" s="90" t="str">
        <f>"Enterprise value calculation in "&amp;MAIN_CURRENCY&amp;" MM"</f>
        <v>Enterprise value calculation in USD MM</v>
      </c>
      <c r="F5" s="43"/>
      <c r="G5" s="43"/>
      <c r="H5" s="91"/>
      <c r="I5" s="43"/>
      <c r="J5" s="43"/>
      <c r="K5" s="43"/>
      <c r="L5" s="43"/>
      <c r="M5" s="18"/>
      <c r="N5" s="43"/>
      <c r="O5" s="43"/>
      <c r="P5" s="43"/>
      <c r="Q5" s="43"/>
      <c r="R5" s="43"/>
      <c r="S5" s="43"/>
      <c r="T5" s="43"/>
      <c r="U5" s="43"/>
      <c r="V5" s="43"/>
      <c r="W5" s="43"/>
      <c r="X5" s="43"/>
    </row>
    <row r="6" spans="1:26" ht="15" customHeight="1" x14ac:dyDescent="0.25">
      <c r="A6" s="19"/>
      <c r="B6" s="43" t="s">
        <v>140</v>
      </c>
      <c r="C6" s="20" t="s">
        <v>141</v>
      </c>
      <c r="D6" s="43"/>
      <c r="E6" s="92" t="s">
        <v>142</v>
      </c>
      <c r="F6" s="43"/>
      <c r="G6" s="43"/>
      <c r="H6" s="91">
        <f>D36*'3'!COMP_FX</f>
        <v>83024.654632160004</v>
      </c>
      <c r="I6" s="43"/>
      <c r="J6" s="43"/>
      <c r="K6" s="43"/>
      <c r="L6" s="43"/>
      <c r="M6" s="18"/>
      <c r="N6" s="43"/>
      <c r="O6" s="43"/>
      <c r="P6" s="43"/>
      <c r="Q6" s="43"/>
      <c r="R6" s="43"/>
      <c r="S6" s="43"/>
      <c r="T6" s="43"/>
      <c r="U6" s="43"/>
      <c r="V6" s="43"/>
      <c r="W6" s="43"/>
      <c r="X6" s="43"/>
    </row>
    <row r="7" spans="1:26" ht="15" customHeight="1" x14ac:dyDescent="0.25">
      <c r="A7" s="19"/>
      <c r="B7" s="43" t="s">
        <v>143</v>
      </c>
      <c r="C7" s="93">
        <f>ANALYSIS_DATE</f>
        <v>46076</v>
      </c>
      <c r="D7" s="43"/>
      <c r="E7" s="92" t="s">
        <v>144</v>
      </c>
      <c r="F7" s="43"/>
      <c r="G7" s="43"/>
      <c r="H7" s="91">
        <f>SUM(G31:G33)*'3'!COMP_FX</f>
        <v>0</v>
      </c>
      <c r="I7" s="43"/>
      <c r="J7" s="43"/>
      <c r="K7" s="43"/>
      <c r="L7" s="43"/>
      <c r="M7" s="18"/>
      <c r="N7" s="43"/>
      <c r="O7" s="43"/>
      <c r="P7" s="43"/>
      <c r="Q7" s="43"/>
      <c r="R7" s="43"/>
      <c r="S7" s="43"/>
      <c r="T7" s="43"/>
      <c r="U7" s="43"/>
      <c r="V7" s="43"/>
      <c r="W7" s="43"/>
      <c r="X7" s="43"/>
    </row>
    <row r="8" spans="1:26" ht="15" customHeight="1" x14ac:dyDescent="0.25">
      <c r="A8" s="19"/>
      <c r="B8" s="43" t="s">
        <v>145</v>
      </c>
      <c r="C8" s="250">
        <f>Trading_comps!D5</f>
        <v>46022</v>
      </c>
      <c r="D8" s="43"/>
      <c r="E8" s="92" t="s">
        <v>146</v>
      </c>
      <c r="F8" s="43"/>
      <c r="G8" s="43"/>
      <c r="H8" s="91">
        <f>SUM(J31:J32)*'3'!COMP_FX</f>
        <v>2579.33</v>
      </c>
      <c r="I8" s="43"/>
      <c r="J8" s="43"/>
      <c r="K8" s="43"/>
      <c r="L8" s="43"/>
      <c r="M8" s="43"/>
      <c r="N8" s="43"/>
      <c r="O8" s="43"/>
      <c r="P8" s="43"/>
      <c r="Q8" s="43"/>
      <c r="R8" s="43"/>
      <c r="S8" s="43"/>
      <c r="T8" s="43"/>
      <c r="U8" s="43"/>
      <c r="V8" s="43"/>
      <c r="W8" s="43"/>
      <c r="X8" s="43"/>
    </row>
    <row r="9" spans="1:26" ht="15" customHeight="1" x14ac:dyDescent="0.25">
      <c r="A9" s="21"/>
      <c r="B9" s="43" t="s">
        <v>147</v>
      </c>
      <c r="C9" s="94" t="str">
        <f>MAIN_CURRENCY</f>
        <v>USD</v>
      </c>
      <c r="D9" s="43"/>
      <c r="E9" s="92" t="s">
        <v>148</v>
      </c>
      <c r="F9" s="43"/>
      <c r="G9" s="43"/>
      <c r="H9" s="91">
        <f>(SUM(J33:J37)-SUM(G34:G37))*'3'!COMP_FX</f>
        <v>359.17399999999998</v>
      </c>
      <c r="I9" s="43"/>
      <c r="J9" s="43"/>
      <c r="K9" s="43"/>
      <c r="L9" s="43"/>
      <c r="M9" s="43"/>
      <c r="N9" s="43"/>
      <c r="O9" s="43"/>
      <c r="P9" s="43"/>
      <c r="Q9" s="43"/>
      <c r="R9" s="43"/>
      <c r="S9" s="43"/>
      <c r="T9" s="43"/>
      <c r="U9" s="43"/>
      <c r="V9" s="43"/>
      <c r="W9" s="43"/>
      <c r="X9" s="43"/>
    </row>
    <row r="10" spans="1:26" ht="15" customHeight="1" x14ac:dyDescent="0.25">
      <c r="A10" s="19"/>
      <c r="B10" s="43" t="s">
        <v>55</v>
      </c>
      <c r="C10" s="146">
        <v>0.21</v>
      </c>
      <c r="D10" s="43"/>
      <c r="E10" s="95" t="s">
        <v>149</v>
      </c>
      <c r="F10" s="85"/>
      <c r="G10" s="85"/>
      <c r="H10" s="96">
        <f>'3'!COMP_EQ_VALUE+'3'!TOTAL_DEBT-H8-H9</f>
        <v>80086.150632160003</v>
      </c>
      <c r="I10" s="43"/>
      <c r="J10" s="43"/>
      <c r="K10" s="43"/>
      <c r="L10" s="43"/>
      <c r="M10" s="43"/>
      <c r="N10" s="43"/>
      <c r="O10" s="43"/>
      <c r="P10" s="43"/>
      <c r="Q10" s="43"/>
      <c r="R10" s="43"/>
      <c r="S10" s="43"/>
      <c r="T10" s="43"/>
      <c r="U10" s="43"/>
      <c r="V10" s="43"/>
      <c r="W10" s="43"/>
      <c r="X10" s="43"/>
    </row>
    <row r="11" spans="1:26" ht="15" customHeight="1" x14ac:dyDescent="0.25">
      <c r="A11" s="19"/>
      <c r="B11" s="43" t="s">
        <v>150</v>
      </c>
      <c r="C11" s="23">
        <v>45657</v>
      </c>
      <c r="D11" s="43"/>
      <c r="E11" s="43"/>
      <c r="F11" s="43"/>
      <c r="G11" s="43"/>
      <c r="H11" s="43"/>
      <c r="I11" s="43"/>
      <c r="J11" s="43"/>
      <c r="K11" s="43"/>
      <c r="L11" s="43"/>
      <c r="M11" s="43"/>
      <c r="N11" s="43"/>
      <c r="O11" s="43"/>
      <c r="P11" s="43"/>
      <c r="Q11" s="43"/>
      <c r="R11" s="43"/>
      <c r="S11" s="43"/>
      <c r="T11" s="43"/>
      <c r="U11" s="43"/>
      <c r="V11" s="43"/>
      <c r="W11" s="43"/>
      <c r="X11" s="43"/>
    </row>
    <row r="12" spans="1:26" ht="15" customHeight="1" x14ac:dyDescent="0.25">
      <c r="A12" s="19"/>
      <c r="B12" s="43" t="s">
        <v>151</v>
      </c>
      <c r="C12" s="24" t="s">
        <v>669</v>
      </c>
      <c r="D12" s="43"/>
      <c r="E12" s="15" t="s">
        <v>152</v>
      </c>
      <c r="F12" s="16"/>
      <c r="G12" s="16"/>
      <c r="H12" s="16"/>
      <c r="I12" s="16"/>
      <c r="J12" s="16"/>
      <c r="K12" s="17"/>
      <c r="L12" s="43"/>
      <c r="M12" s="43"/>
      <c r="N12" s="43"/>
      <c r="O12" s="43"/>
      <c r="P12" s="43"/>
      <c r="Q12" s="43"/>
      <c r="R12" s="43"/>
      <c r="S12" s="43"/>
      <c r="T12" s="43"/>
      <c r="U12" s="43"/>
      <c r="V12" s="43"/>
      <c r="W12" s="43"/>
      <c r="X12" s="43"/>
    </row>
    <row r="13" spans="1:26" ht="15" customHeight="1" x14ac:dyDescent="0.25">
      <c r="A13" s="19"/>
      <c r="B13" s="43" t="s">
        <v>153</v>
      </c>
      <c r="C13" s="93">
        <f>DATE(RIGHT(C12,4),LEFT(C12,2),MID(C12,4,2))</f>
        <v>45930</v>
      </c>
      <c r="D13" s="43"/>
      <c r="E13" s="90" t="str">
        <f>"Numbers in "&amp;MAIN_CURRENCY&amp;" MM"</f>
        <v>Numbers in USD MM</v>
      </c>
      <c r="F13" s="43"/>
      <c r="G13" s="62" t="s">
        <v>132</v>
      </c>
      <c r="H13" s="97" t="str">
        <f>YEAR($C$8)+1&amp;"e"</f>
        <v>2026e</v>
      </c>
      <c r="I13" s="97" t="str">
        <f>YEAR($C$8)+2&amp;"e"</f>
        <v>2027e</v>
      </c>
      <c r="J13" s="97" t="str">
        <f>YEAR($C$8)+3&amp;"e"</f>
        <v>2028e</v>
      </c>
      <c r="K13" s="98" t="str">
        <f>YEAR($C$8)+4&amp;"e"</f>
        <v>2029e</v>
      </c>
      <c r="L13" s="43"/>
      <c r="M13" s="43"/>
      <c r="N13" s="43"/>
      <c r="O13" s="43"/>
      <c r="P13" s="43"/>
      <c r="Q13" s="43"/>
      <c r="R13" s="43"/>
      <c r="S13" s="43"/>
      <c r="T13" s="43"/>
      <c r="U13" s="43"/>
      <c r="V13" s="43"/>
      <c r="W13" s="43"/>
      <c r="X13" s="43"/>
    </row>
    <row r="14" spans="1:26" ht="15" customHeight="1" x14ac:dyDescent="0.25">
      <c r="A14" s="19"/>
      <c r="B14" s="43" t="s">
        <v>154</v>
      </c>
      <c r="C14" s="25" t="s">
        <v>155</v>
      </c>
      <c r="D14" s="43"/>
      <c r="E14" s="90" t="s">
        <v>75</v>
      </c>
      <c r="F14" s="43"/>
      <c r="G14" s="43">
        <f>G44*'3'!COMP_FX</f>
        <v>7975.3310000000001</v>
      </c>
      <c r="H14" s="62">
        <f>IF(I$80&gt;0,SUMPRODUCT('3'!COMP_CALENDARIZE_PERCENTAGES,H44:J44)*I$81*'3'!COMP_FX,"N/A")</f>
        <v>9006.9</v>
      </c>
      <c r="I14" s="62">
        <f>IF(J$80&gt;0,SUMPRODUCT('3'!COMP_CALENDARIZE_PERCENTAGES,I44:K44)*J$81*'3'!COMP_FX,"N/A")</f>
        <v>9819.6</v>
      </c>
      <c r="J14" s="62" t="str">
        <f>IF(K$80&gt;0,SUMPRODUCT('3'!COMP_CALENDARIZE_PERCENTAGES,J44:L44)*K$81*'3'!COMP_FX,"N/A")</f>
        <v>N/A</v>
      </c>
      <c r="K14" s="94" t="str">
        <f>IF(L$80&gt;0,SUMPRODUCT('3'!COMP_CALENDARIZE_PERCENTAGES,K44:M44)*L$81*'3'!COMP_FX,"N/A")</f>
        <v>N/A</v>
      </c>
      <c r="L14" s="43"/>
      <c r="M14" s="43"/>
      <c r="N14" s="43"/>
      <c r="O14" s="43"/>
      <c r="P14" s="43"/>
      <c r="Q14" s="43"/>
      <c r="R14" s="43"/>
      <c r="S14" s="43"/>
      <c r="T14" s="43"/>
      <c r="U14" s="43"/>
      <c r="V14" s="43"/>
      <c r="W14" s="43"/>
      <c r="X14" s="43"/>
    </row>
    <row r="15" spans="1:26" ht="15" customHeight="1" x14ac:dyDescent="0.25">
      <c r="A15" s="19"/>
      <c r="B15" s="43" t="s">
        <v>156</v>
      </c>
      <c r="C15" s="26">
        <v>1</v>
      </c>
      <c r="D15" s="43"/>
      <c r="E15" s="90" t="s">
        <v>18</v>
      </c>
      <c r="F15" s="43"/>
      <c r="G15" s="43">
        <f>G55*'3'!COMP_FX</f>
        <v>2552.9789999999998</v>
      </c>
      <c r="H15" s="62">
        <f>IF(I$80&gt;0,SUMPRODUCT('3'!COMP_CALENDARIZE_PERCENTAGES,H55:J55)*I$81*'3'!COMP_FX,"N/A")</f>
        <v>2914.6</v>
      </c>
      <c r="I15" s="62">
        <f>IF(J$80&gt;0,SUMPRODUCT('3'!COMP_CALENDARIZE_PERCENTAGES,I55:K55)*J$81*'3'!COMP_FX,"N/A")</f>
        <v>3212.8</v>
      </c>
      <c r="J15" s="62" t="str">
        <f>IF(K$80&gt;0,SUMPRODUCT('3'!COMP_CALENDARIZE_PERCENTAGES,J55:L55)*K$81*'3'!COMP_FX,"N/A")</f>
        <v>N/A</v>
      </c>
      <c r="K15" s="94" t="str">
        <f>IF(L$80&gt;0,SUMPRODUCT('3'!COMP_CALENDARIZE_PERCENTAGES,K55:M55)*L$81*'3'!COMP_FX,"N/A")</f>
        <v>N/A</v>
      </c>
      <c r="L15" s="43"/>
      <c r="M15" s="43"/>
      <c r="N15" s="43"/>
      <c r="O15" s="43"/>
      <c r="P15" s="43"/>
      <c r="Q15" s="43"/>
      <c r="R15" s="43"/>
      <c r="S15" s="43"/>
      <c r="T15" s="43"/>
      <c r="U15" s="43"/>
      <c r="V15" s="43"/>
      <c r="W15" s="43"/>
      <c r="X15" s="43"/>
    </row>
    <row r="16" spans="1:26" ht="15" customHeight="1" x14ac:dyDescent="0.25">
      <c r="A16" s="19"/>
      <c r="B16" s="43" t="s">
        <v>157</v>
      </c>
      <c r="C16" s="27">
        <v>83.76</v>
      </c>
      <c r="D16" s="43"/>
      <c r="E16" s="90" t="s">
        <v>17</v>
      </c>
      <c r="F16" s="43"/>
      <c r="G16" s="43">
        <f>G53*'3'!COMP_FX</f>
        <v>2450.3440000000001</v>
      </c>
      <c r="H16" s="62">
        <f>IF(I$80&gt;0,SUMPRODUCT('3'!COMP_CALENDARIZE_PERCENTAGES,H53:J53)*I$81*'3'!COMP_FX,"N/A")</f>
        <v>2834.6</v>
      </c>
      <c r="I16" s="62">
        <f>IF(J$80&gt;0,SUMPRODUCT('3'!COMP_CALENDARIZE_PERCENTAGES,I53:K53)*J$81*'3'!COMP_FX,"N/A")</f>
        <v>3132.8</v>
      </c>
      <c r="J16" s="62" t="str">
        <f>IF(K$80&gt;0,SUMPRODUCT('3'!COMP_CALENDARIZE_PERCENTAGES,J53:L53)*K$81*'3'!COMP_FX,"N/A")</f>
        <v>N/A</v>
      </c>
      <c r="K16" s="94" t="str">
        <f>IF(L$80&gt;0,SUMPRODUCT('3'!COMP_CALENDARIZE_PERCENTAGES,K53:M53)*L$81*'3'!COMP_FX,"N/A")</f>
        <v>N/A</v>
      </c>
      <c r="L16" s="43"/>
      <c r="M16" s="43"/>
      <c r="N16" s="43"/>
      <c r="O16" s="43"/>
      <c r="P16" s="43"/>
      <c r="Q16" s="43"/>
      <c r="R16" s="43"/>
      <c r="S16" s="43"/>
      <c r="T16" s="43"/>
      <c r="U16" s="43"/>
      <c r="V16" s="43"/>
      <c r="W16" s="43"/>
      <c r="X16" s="43"/>
    </row>
    <row r="17" spans="1:24" ht="15" customHeight="1" x14ac:dyDescent="0.25">
      <c r="A17" s="19"/>
      <c r="B17" s="43" t="s">
        <v>158</v>
      </c>
      <c r="C17" s="27">
        <v>50.93</v>
      </c>
      <c r="D17" s="43"/>
      <c r="E17" s="99" t="s">
        <v>159</v>
      </c>
      <c r="F17" s="85"/>
      <c r="G17" s="85"/>
      <c r="H17" s="100">
        <f>IF(I$80&gt;0,SUMPRODUCT('3'!COMP_CALENDARIZE_PERCENTAGES,H56:J56)*I$81*'3'!COMP_FX,"N/A")</f>
        <v>2.2599999999999998</v>
      </c>
      <c r="I17" s="100">
        <f>IF(J$80&gt;0,SUMPRODUCT('3'!COMP_CALENDARIZE_PERCENTAGES,I56:K56)*J$81*'3'!COMP_FX,"N/A")</f>
        <v>2.5499999999999998</v>
      </c>
      <c r="J17" s="100" t="str">
        <f>IF(K$80&gt;0,SUMPRODUCT('3'!COMP_CALENDARIZE_PERCENTAGES,J56:L56)*K$81*'3'!COMP_FX,"N/A")</f>
        <v>N/A</v>
      </c>
      <c r="K17" s="101" t="str">
        <f>IF(L$80&gt;0,SUMPRODUCT('3'!COMP_CALENDARIZE_PERCENTAGES,K56:M56)*L$81*'3'!COMP_FX,"N/A")</f>
        <v>N/A</v>
      </c>
      <c r="L17" s="43"/>
      <c r="M17" s="43"/>
      <c r="N17" s="43"/>
      <c r="O17" s="43"/>
      <c r="P17" s="43"/>
      <c r="Q17" s="43"/>
      <c r="R17" s="43"/>
      <c r="S17" s="43"/>
      <c r="T17" s="43"/>
      <c r="U17" s="43"/>
      <c r="V17" s="43"/>
      <c r="W17" s="43"/>
      <c r="X17" s="43"/>
    </row>
    <row r="18" spans="1:24" ht="15" customHeight="1" x14ac:dyDescent="0.25">
      <c r="A18" s="19"/>
      <c r="B18" s="43" t="s">
        <v>160</v>
      </c>
      <c r="C18" s="27">
        <v>83.98</v>
      </c>
      <c r="D18" s="43"/>
      <c r="E18" s="43"/>
      <c r="F18" s="43"/>
      <c r="G18" s="43"/>
      <c r="H18" s="43"/>
      <c r="I18" s="43"/>
      <c r="J18" s="43"/>
      <c r="K18" s="43"/>
      <c r="L18" s="43"/>
      <c r="M18" s="43"/>
      <c r="N18" s="43"/>
      <c r="O18" s="43"/>
      <c r="P18" s="43"/>
      <c r="Q18" s="43"/>
      <c r="R18" s="43"/>
      <c r="S18" s="43"/>
      <c r="T18" s="43"/>
      <c r="U18" s="43"/>
      <c r="V18" s="43"/>
      <c r="W18" s="43"/>
      <c r="X18" s="43"/>
    </row>
    <row r="19" spans="1:24" ht="15" customHeight="1" x14ac:dyDescent="0.25">
      <c r="A19" s="19"/>
      <c r="B19" s="43" t="s">
        <v>161</v>
      </c>
      <c r="C19" s="25" t="s">
        <v>221</v>
      </c>
      <c r="D19" s="43"/>
      <c r="E19" s="15" t="s">
        <v>163</v>
      </c>
      <c r="F19" s="16"/>
      <c r="G19" s="16"/>
      <c r="H19" s="16"/>
      <c r="I19" s="16"/>
      <c r="J19" s="16"/>
      <c r="K19" s="17"/>
      <c r="L19" s="43"/>
      <c r="M19" s="43"/>
      <c r="N19" s="43"/>
      <c r="O19" s="43"/>
      <c r="P19" s="43"/>
      <c r="Q19" s="43"/>
      <c r="R19" s="43"/>
      <c r="S19" s="43"/>
      <c r="T19" s="43"/>
      <c r="U19" s="43"/>
      <c r="V19" s="43"/>
      <c r="W19" s="43"/>
      <c r="X19" s="43"/>
    </row>
    <row r="20" spans="1:24" ht="15" customHeight="1" x14ac:dyDescent="0.25">
      <c r="A20" s="19"/>
      <c r="B20" s="43" t="s">
        <v>164</v>
      </c>
      <c r="C20" s="27">
        <v>0.63</v>
      </c>
      <c r="D20" s="43"/>
      <c r="E20" s="90" t="s">
        <v>165</v>
      </c>
      <c r="F20" s="43"/>
      <c r="G20" s="62" t="str">
        <f>G13</f>
        <v>LTM</v>
      </c>
      <c r="H20" s="62" t="str">
        <f>H13</f>
        <v>2026e</v>
      </c>
      <c r="I20" s="62" t="str">
        <f>I13</f>
        <v>2027e</v>
      </c>
      <c r="J20" s="62" t="str">
        <f>J13</f>
        <v>2028e</v>
      </c>
      <c r="K20" s="94" t="str">
        <f>K13</f>
        <v>2029e</v>
      </c>
      <c r="L20" s="43"/>
      <c r="M20" s="43"/>
      <c r="N20" s="43"/>
      <c r="O20" s="43"/>
      <c r="P20" s="43"/>
      <c r="Q20" s="43"/>
      <c r="R20" s="43"/>
      <c r="S20" s="43"/>
      <c r="T20" s="43"/>
      <c r="U20" s="43"/>
      <c r="V20" s="43"/>
      <c r="W20" s="43"/>
      <c r="X20" s="43"/>
    </row>
    <row r="21" spans="1:24" ht="15" customHeight="1" x14ac:dyDescent="0.25">
      <c r="A21" s="19"/>
      <c r="B21" s="43" t="s">
        <v>166</v>
      </c>
      <c r="C21" s="146">
        <v>0.125</v>
      </c>
      <c r="D21" s="43"/>
      <c r="E21" s="90" t="s">
        <v>167</v>
      </c>
      <c r="F21" s="43"/>
      <c r="G21" s="102">
        <f>IF(G14&lt;&gt;0,$H$10/G14,"N/A")</f>
        <v>10.041733770317496</v>
      </c>
      <c r="H21" s="102">
        <f t="shared" ref="H21:J23" si="0">IF(ISNUMBER(H14),$H$10/H14,"N/A")</f>
        <v>8.891644254089643</v>
      </c>
      <c r="I21" s="102">
        <f t="shared" si="0"/>
        <v>8.1557446975599817</v>
      </c>
      <c r="J21" s="102" t="str">
        <f t="shared" si="0"/>
        <v>N/A</v>
      </c>
      <c r="K21" s="103" t="str">
        <f>IFERROR($H$10/K14,"N/A")</f>
        <v>N/A</v>
      </c>
      <c r="L21" s="43"/>
      <c r="M21" s="43"/>
      <c r="N21" s="43"/>
      <c r="O21" s="43"/>
      <c r="P21" s="43"/>
      <c r="Q21" s="43"/>
      <c r="R21" s="43"/>
      <c r="S21" s="43"/>
      <c r="T21" s="43"/>
      <c r="U21" s="43"/>
      <c r="V21" s="43"/>
      <c r="W21" s="43"/>
      <c r="X21" s="43"/>
    </row>
    <row r="22" spans="1:24" ht="15" customHeight="1" x14ac:dyDescent="0.25">
      <c r="A22" s="19"/>
      <c r="B22" s="43" t="s">
        <v>168</v>
      </c>
      <c r="C22" s="104">
        <f>G53/G44</f>
        <v>0.30724041422230625</v>
      </c>
      <c r="D22" s="43"/>
      <c r="E22" s="90" t="s">
        <v>134</v>
      </c>
      <c r="F22" s="43"/>
      <c r="G22" s="102">
        <f>IF(G15&lt;&gt;0,$H$10/G15,"N/A")</f>
        <v>31.369686406413845</v>
      </c>
      <c r="H22" s="102">
        <f t="shared" si="0"/>
        <v>27.477578615302274</v>
      </c>
      <c r="I22" s="102">
        <f t="shared" si="0"/>
        <v>24.927213219671316</v>
      </c>
      <c r="J22" s="102" t="str">
        <f t="shared" si="0"/>
        <v>N/A</v>
      </c>
      <c r="K22" s="103" t="str">
        <f>IFERROR($H$10/K15,"N/A")</f>
        <v>N/A</v>
      </c>
      <c r="L22" s="43"/>
      <c r="M22" s="43"/>
      <c r="N22" s="43"/>
      <c r="O22" s="43"/>
      <c r="P22" s="43"/>
      <c r="Q22" s="43"/>
      <c r="R22" s="43"/>
      <c r="S22" s="43"/>
      <c r="T22" s="43"/>
      <c r="U22" s="43"/>
      <c r="V22" s="43"/>
      <c r="W22" s="43"/>
      <c r="X22" s="43"/>
    </row>
    <row r="23" spans="1:24" ht="15" customHeight="1" x14ac:dyDescent="0.25">
      <c r="A23" s="28"/>
      <c r="B23" s="85" t="s">
        <v>35</v>
      </c>
      <c r="C23" s="105">
        <f>G53*(1-'3'!COMP_MTR)/D39</f>
        <v>0.40274074086403067</v>
      </c>
      <c r="D23" s="43"/>
      <c r="E23" s="90" t="s">
        <v>169</v>
      </c>
      <c r="F23" s="43"/>
      <c r="G23" s="102">
        <f>IF(G16&lt;&gt;0,$H$10/G16,"N/A")</f>
        <v>32.683635698563144</v>
      </c>
      <c r="H23" s="102">
        <f t="shared" si="0"/>
        <v>28.253069439130744</v>
      </c>
      <c r="I23" s="102">
        <f t="shared" si="0"/>
        <v>25.56376105469867</v>
      </c>
      <c r="J23" s="102" t="str">
        <f t="shared" si="0"/>
        <v>N/A</v>
      </c>
      <c r="K23" s="103" t="str">
        <f>IFERROR($H$10/K16,"N/A")</f>
        <v>N/A</v>
      </c>
      <c r="L23" s="43"/>
      <c r="M23" s="43"/>
      <c r="N23" s="43"/>
      <c r="O23" s="43"/>
      <c r="P23" s="43"/>
      <c r="Q23" s="43"/>
      <c r="R23" s="43"/>
      <c r="S23" s="43"/>
      <c r="T23" s="43"/>
      <c r="U23" s="43"/>
      <c r="V23" s="43"/>
      <c r="W23" s="43"/>
      <c r="X23" s="43"/>
    </row>
    <row r="24" spans="1:24" ht="15" customHeight="1" x14ac:dyDescent="0.25">
      <c r="A24" s="9"/>
      <c r="B24" s="43"/>
      <c r="C24" s="43"/>
      <c r="D24" s="43"/>
      <c r="E24" s="90" t="s">
        <v>170</v>
      </c>
      <c r="F24" s="43"/>
      <c r="G24" s="102"/>
      <c r="H24" s="102">
        <f>IF(ISNUMBER(H17),($C$16*'3'!COMP_FX)/H17,"N/A")</f>
        <v>37.061946902654874</v>
      </c>
      <c r="I24" s="102">
        <f>IF(ISNUMBER(I17),($C$16*'3'!COMP_FX)/I17,"N/A")</f>
        <v>32.847058823529416</v>
      </c>
      <c r="J24" s="102" t="str">
        <f>IF(ISNUMBER(J17),($C$16*'3'!COMP_FX)/J17,"N/A")</f>
        <v>N/A</v>
      </c>
      <c r="K24" s="103" t="str">
        <f>IFERROR(($C$16*'3'!COMP_FX)/K17,"N/A")</f>
        <v>N/A</v>
      </c>
      <c r="L24" s="43"/>
      <c r="M24" s="43"/>
      <c r="N24" s="43"/>
      <c r="O24" s="43"/>
      <c r="P24" s="43"/>
      <c r="Q24" s="43"/>
      <c r="R24" s="43"/>
      <c r="S24" s="43"/>
      <c r="T24" s="43"/>
      <c r="U24" s="43"/>
      <c r="V24" s="43"/>
      <c r="W24" s="43"/>
      <c r="X24" s="43"/>
    </row>
    <row r="25" spans="1:24" ht="15" customHeight="1" x14ac:dyDescent="0.25">
      <c r="A25" s="19"/>
      <c r="B25" s="43"/>
      <c r="C25" s="43"/>
      <c r="D25" s="43"/>
      <c r="E25" s="90" t="s">
        <v>171</v>
      </c>
      <c r="F25" s="43"/>
      <c r="G25" s="102">
        <f>D36/D37</f>
        <v>10.719774645856683</v>
      </c>
      <c r="H25" s="43"/>
      <c r="I25" s="43"/>
      <c r="J25" s="43"/>
      <c r="K25" s="91"/>
      <c r="L25" s="43"/>
      <c r="M25" s="43"/>
      <c r="N25" s="43"/>
      <c r="O25" s="43"/>
      <c r="P25" s="43"/>
      <c r="Q25" s="43"/>
      <c r="R25" s="43"/>
      <c r="S25" s="43"/>
      <c r="T25" s="43"/>
      <c r="U25" s="43"/>
      <c r="V25" s="43"/>
      <c r="W25" s="43"/>
      <c r="X25" s="43"/>
    </row>
    <row r="26" spans="1:24" ht="15" customHeight="1" x14ac:dyDescent="0.25">
      <c r="A26" s="19"/>
      <c r="B26" s="43"/>
      <c r="C26" s="43"/>
      <c r="D26" s="43"/>
      <c r="E26" s="99" t="s">
        <v>172</v>
      </c>
      <c r="F26" s="85"/>
      <c r="G26" s="106">
        <f>IF(G15=0,"N/A",H7/G15)</f>
        <v>0</v>
      </c>
      <c r="H26" s="85"/>
      <c r="I26" s="85"/>
      <c r="J26" s="85"/>
      <c r="K26" s="96"/>
      <c r="L26" s="43"/>
      <c r="M26" s="43"/>
      <c r="N26" s="43"/>
      <c r="O26" s="43"/>
      <c r="P26" s="43"/>
      <c r="Q26" s="43"/>
      <c r="R26" s="43"/>
      <c r="S26" s="43"/>
      <c r="T26" s="43"/>
      <c r="U26" s="43"/>
      <c r="V26" s="43"/>
      <c r="W26" s="43"/>
      <c r="X26" s="43"/>
    </row>
    <row r="27" spans="1:24" ht="15" customHeight="1" x14ac:dyDescent="0.25">
      <c r="A27" s="19"/>
      <c r="B27" s="43"/>
      <c r="C27" s="43"/>
      <c r="D27" s="43"/>
      <c r="E27" s="43"/>
      <c r="F27" s="43"/>
      <c r="G27" s="43"/>
      <c r="H27" s="43"/>
      <c r="I27" s="43"/>
      <c r="J27" s="43"/>
      <c r="K27" s="43"/>
      <c r="L27" s="43"/>
      <c r="M27" s="43"/>
      <c r="N27" s="43"/>
      <c r="O27" s="43"/>
      <c r="P27" s="43"/>
      <c r="Q27" s="43"/>
      <c r="R27" s="43"/>
      <c r="S27" s="43"/>
      <c r="T27" s="43"/>
      <c r="U27" s="43"/>
      <c r="V27" s="43"/>
      <c r="W27" s="43"/>
      <c r="X27" s="43"/>
    </row>
    <row r="28" spans="1:24" ht="15" customHeight="1" x14ac:dyDescent="0.3">
      <c r="A28" s="15" t="s">
        <v>173</v>
      </c>
      <c r="B28" s="29"/>
      <c r="C28" s="30"/>
      <c r="D28" s="30"/>
      <c r="E28" s="30"/>
      <c r="F28" s="30"/>
      <c r="G28" s="30"/>
      <c r="H28" s="30"/>
      <c r="I28" s="30"/>
      <c r="J28" s="30"/>
      <c r="K28" s="30"/>
      <c r="L28" s="43"/>
      <c r="M28" s="15" t="s">
        <v>174</v>
      </c>
      <c r="N28" s="16"/>
      <c r="O28" s="16"/>
      <c r="P28" s="17"/>
      <c r="Q28" s="43"/>
      <c r="R28" s="43"/>
      <c r="S28" s="43"/>
      <c r="T28" s="43"/>
      <c r="U28" s="43"/>
      <c r="V28" s="43"/>
      <c r="W28" s="43"/>
      <c r="X28" s="43"/>
    </row>
    <row r="29" spans="1:24" ht="15" customHeight="1" x14ac:dyDescent="0.25">
      <c r="A29" s="90"/>
      <c r="B29" s="43"/>
      <c r="C29" s="43"/>
      <c r="D29" s="43"/>
      <c r="E29" s="43"/>
      <c r="F29" s="43"/>
      <c r="H29" s="43"/>
      <c r="I29" s="43"/>
      <c r="J29" s="43"/>
      <c r="K29" s="91"/>
      <c r="L29" s="43"/>
      <c r="M29" s="90" t="s">
        <v>175</v>
      </c>
      <c r="N29" s="62" t="s">
        <v>176</v>
      </c>
      <c r="O29" s="62" t="s">
        <v>177</v>
      </c>
      <c r="P29" s="94" t="s">
        <v>178</v>
      </c>
      <c r="Q29" s="43"/>
      <c r="R29" s="43"/>
      <c r="S29" s="43"/>
      <c r="T29" s="43"/>
      <c r="U29" s="43"/>
      <c r="V29" s="43"/>
      <c r="W29" s="43"/>
      <c r="X29" s="43"/>
    </row>
    <row r="30" spans="1:24" ht="15" customHeight="1" x14ac:dyDescent="0.25">
      <c r="A30" s="19"/>
      <c r="B30" s="10" t="s">
        <v>179</v>
      </c>
      <c r="C30" s="43"/>
      <c r="D30" s="10"/>
      <c r="E30" s="10" t="s">
        <v>180</v>
      </c>
      <c r="F30" s="31"/>
      <c r="G30" s="31"/>
      <c r="H30" s="10" t="s">
        <v>181</v>
      </c>
      <c r="I30" s="31"/>
      <c r="J30" s="31"/>
      <c r="K30" s="91"/>
      <c r="L30" s="43"/>
      <c r="M30" s="32" t="s">
        <v>182</v>
      </c>
      <c r="N30" s="14">
        <v>24.074000000000002</v>
      </c>
      <c r="O30" s="33">
        <v>41.45</v>
      </c>
      <c r="P30" s="91">
        <f>MAX(('3'!COMP_SHAREPRICE-O30)/'3'!COMP_SHAREPRICE*N30,0)</f>
        <v>12.16058906399236</v>
      </c>
      <c r="Q30" s="43"/>
      <c r="S30" s="43"/>
      <c r="T30" s="43"/>
      <c r="U30" s="43"/>
      <c r="V30" s="43"/>
      <c r="W30" s="43"/>
      <c r="X30" s="43"/>
    </row>
    <row r="31" spans="1:24" ht="15" customHeight="1" x14ac:dyDescent="0.25">
      <c r="A31" s="19"/>
      <c r="B31" s="43" t="s">
        <v>183</v>
      </c>
      <c r="C31" s="43"/>
      <c r="D31" s="34">
        <v>45961</v>
      </c>
      <c r="E31" s="43" t="s">
        <v>184</v>
      </c>
      <c r="F31" s="43"/>
      <c r="G31" s="14">
        <v>0</v>
      </c>
      <c r="H31" s="43" t="s">
        <v>185</v>
      </c>
      <c r="I31" s="43"/>
      <c r="J31" s="14">
        <f>2292.939+286.391</f>
        <v>2579.33</v>
      </c>
      <c r="K31" s="91"/>
      <c r="M31" s="32" t="s">
        <v>678</v>
      </c>
      <c r="N31" s="14">
        <v>2.0390000000000001</v>
      </c>
      <c r="O31" s="33">
        <v>0</v>
      </c>
      <c r="P31" s="91">
        <f>MAX(('3'!COMP_SHAREPRICE-O31)/'3'!COMP_SHAREPRICE*N31,0)</f>
        <v>2.0390000000000001</v>
      </c>
      <c r="Q31" s="43"/>
      <c r="R31" s="226"/>
      <c r="S31" s="226"/>
      <c r="T31" s="226"/>
      <c r="U31" s="226"/>
      <c r="V31" s="226"/>
    </row>
    <row r="32" spans="1:24" ht="15" customHeight="1" x14ac:dyDescent="0.25">
      <c r="A32" s="19"/>
      <c r="B32" s="43" t="s">
        <v>187</v>
      </c>
      <c r="D32" s="14">
        <v>977.02121599999998</v>
      </c>
      <c r="E32" s="7" t="s">
        <v>188</v>
      </c>
      <c r="F32" s="43"/>
      <c r="G32" s="14">
        <v>0</v>
      </c>
      <c r="H32" s="7" t="s">
        <v>189</v>
      </c>
      <c r="I32" s="43"/>
      <c r="J32" s="14">
        <v>0</v>
      </c>
      <c r="K32" s="91"/>
      <c r="M32" s="32" t="s">
        <v>677</v>
      </c>
      <c r="N32" s="14">
        <v>0</v>
      </c>
      <c r="O32" s="33">
        <v>0</v>
      </c>
      <c r="P32" s="91">
        <f>MAX(('3'!COMP_SHAREPRICE-O32)/'3'!COMP_SHAREPRICE*N32,0)</f>
        <v>0</v>
      </c>
      <c r="Q32" s="43"/>
      <c r="R32" s="226"/>
      <c r="S32" s="226"/>
      <c r="T32" s="226"/>
      <c r="U32" s="226"/>
      <c r="V32" s="226"/>
    </row>
    <row r="33" spans="1:26" ht="15" customHeight="1" x14ac:dyDescent="0.25">
      <c r="A33" s="19"/>
      <c r="B33" s="43" t="s">
        <v>191</v>
      </c>
      <c r="D33" s="14">
        <v>0</v>
      </c>
      <c r="E33" s="7" t="s">
        <v>192</v>
      </c>
      <c r="F33" s="43"/>
      <c r="G33" s="14">
        <v>0</v>
      </c>
      <c r="H33" s="7" t="s">
        <v>193</v>
      </c>
      <c r="I33" s="43"/>
      <c r="J33" s="14">
        <v>359.17399999999998</v>
      </c>
      <c r="K33" s="91"/>
      <c r="M33" s="32" t="s">
        <v>194</v>
      </c>
      <c r="N33" s="14">
        <v>0</v>
      </c>
      <c r="O33" s="33">
        <v>0</v>
      </c>
      <c r="P33" s="91">
        <f>MAX(('3'!COMP_SHAREPRICE-O33)/'3'!COMP_SHAREPRICE*N33,0)</f>
        <v>0</v>
      </c>
      <c r="Q33" s="43"/>
      <c r="R33" s="226"/>
      <c r="S33" s="226"/>
      <c r="T33" s="226"/>
      <c r="U33" s="226"/>
      <c r="V33" s="226"/>
    </row>
    <row r="34" spans="1:26" ht="15" customHeight="1" x14ac:dyDescent="0.25">
      <c r="A34" s="19"/>
      <c r="B34" s="43" t="s">
        <v>195</v>
      </c>
      <c r="D34" s="43">
        <f>P38</f>
        <v>14.199589063992359</v>
      </c>
      <c r="E34" s="43" t="s">
        <v>196</v>
      </c>
      <c r="F34" s="43"/>
      <c r="G34" s="14">
        <v>0</v>
      </c>
      <c r="H34" s="7" t="s">
        <v>197</v>
      </c>
      <c r="I34" s="43"/>
      <c r="J34" s="14">
        <v>0</v>
      </c>
      <c r="K34" s="91"/>
      <c r="M34" s="32" t="s">
        <v>198</v>
      </c>
      <c r="N34" s="14">
        <v>0</v>
      </c>
      <c r="O34" s="33">
        <v>0</v>
      </c>
      <c r="P34" s="91">
        <f>MAX(('3'!COMP_SHAREPRICE-O34)/'3'!COMP_SHAREPRICE*N34,0)</f>
        <v>0</v>
      </c>
      <c r="Q34" s="43"/>
      <c r="R34" s="226"/>
      <c r="S34" s="226"/>
      <c r="T34" s="226"/>
      <c r="U34" s="226"/>
      <c r="V34" s="226"/>
    </row>
    <row r="35" spans="1:26" ht="15" customHeight="1" x14ac:dyDescent="0.25">
      <c r="A35" s="19"/>
      <c r="B35" s="43" t="s">
        <v>199</v>
      </c>
      <c r="D35" s="43">
        <f>SUM(D32:D34)</f>
        <v>991.22080506399232</v>
      </c>
      <c r="E35" s="43" t="s">
        <v>200</v>
      </c>
      <c r="F35" s="43"/>
      <c r="G35" s="14">
        <v>0</v>
      </c>
      <c r="H35" s="7" t="s">
        <v>27</v>
      </c>
      <c r="I35" s="43"/>
      <c r="J35" s="14">
        <v>0</v>
      </c>
      <c r="K35" s="91"/>
      <c r="L35" s="43"/>
      <c r="M35" s="32" t="s">
        <v>201</v>
      </c>
      <c r="N35" s="14">
        <v>0</v>
      </c>
      <c r="O35" s="33">
        <v>0</v>
      </c>
      <c r="P35" s="91">
        <f>MAX(('3'!COMP_SHAREPRICE-O35)/'3'!COMP_SHAREPRICE*N35,0)</f>
        <v>0</v>
      </c>
      <c r="Q35" s="43"/>
      <c r="R35" s="226"/>
      <c r="S35" s="226"/>
      <c r="T35" s="226"/>
      <c r="U35" s="226"/>
      <c r="V35" s="226"/>
    </row>
    <row r="36" spans="1:26" ht="15" customHeight="1" x14ac:dyDescent="0.25">
      <c r="A36" s="19"/>
      <c r="B36" s="43" t="s">
        <v>202</v>
      </c>
      <c r="D36" s="43">
        <f>D35*'3'!COMP_SHAREPRICE</f>
        <v>83024.654632160004</v>
      </c>
      <c r="E36" s="7" t="s">
        <v>27</v>
      </c>
      <c r="F36" s="43"/>
      <c r="G36" s="14">
        <v>0</v>
      </c>
      <c r="H36" s="7" t="s">
        <v>27</v>
      </c>
      <c r="I36" s="43"/>
      <c r="J36" s="14">
        <v>0</v>
      </c>
      <c r="K36" s="91"/>
      <c r="L36" s="43"/>
      <c r="M36" s="32" t="s">
        <v>203</v>
      </c>
      <c r="N36" s="14">
        <v>0</v>
      </c>
      <c r="O36" s="33">
        <v>0</v>
      </c>
      <c r="P36" s="91">
        <f>MAX(('3'!COMP_SHAREPRICE-O36)/'3'!COMP_SHAREPRICE*N36,0)</f>
        <v>0</v>
      </c>
      <c r="Q36" s="43"/>
      <c r="R36" s="226"/>
      <c r="S36" s="226"/>
      <c r="T36" s="226"/>
      <c r="U36" s="226"/>
      <c r="V36" s="226"/>
      <c r="W36" s="81"/>
      <c r="X36" s="81"/>
    </row>
    <row r="37" spans="1:26" ht="15" customHeight="1" x14ac:dyDescent="0.25">
      <c r="A37" s="19"/>
      <c r="B37" s="43" t="s">
        <v>204</v>
      </c>
      <c r="D37" s="14">
        <v>7745</v>
      </c>
      <c r="E37" s="7" t="s">
        <v>27</v>
      </c>
      <c r="F37" s="43"/>
      <c r="G37" s="14">
        <v>0</v>
      </c>
      <c r="H37" s="7" t="s">
        <v>27</v>
      </c>
      <c r="I37" s="43"/>
      <c r="J37" s="14">
        <v>0</v>
      </c>
      <c r="K37" s="91"/>
      <c r="L37" s="43"/>
      <c r="M37" s="32" t="s">
        <v>205</v>
      </c>
      <c r="N37" s="14">
        <v>0</v>
      </c>
      <c r="O37" s="33">
        <v>0</v>
      </c>
      <c r="P37" s="91">
        <f>MAX(('3'!COMP_SHAREPRICE-O37)/'3'!COMP_SHAREPRICE*N37,0)</f>
        <v>0</v>
      </c>
      <c r="Q37" s="43"/>
      <c r="R37" s="43"/>
      <c r="S37" s="107"/>
      <c r="T37" s="81"/>
      <c r="U37" s="81"/>
      <c r="V37" s="81"/>
      <c r="W37" s="81"/>
      <c r="X37" s="81"/>
    </row>
    <row r="38" spans="1:26" ht="15" customHeight="1" x14ac:dyDescent="0.25">
      <c r="A38" s="19"/>
      <c r="B38" s="43" t="s">
        <v>206</v>
      </c>
      <c r="C38" s="43"/>
      <c r="D38" s="43">
        <f>G39-J39</f>
        <v>-2938.5039999999999</v>
      </c>
      <c r="F38" s="43"/>
      <c r="G38" s="43"/>
      <c r="H38" s="43"/>
      <c r="I38" s="43"/>
      <c r="J38" s="43"/>
      <c r="K38" s="91"/>
      <c r="L38" s="43"/>
      <c r="M38" s="99" t="s">
        <v>207</v>
      </c>
      <c r="N38" s="85"/>
      <c r="O38" s="85"/>
      <c r="P38" s="96">
        <f>SUM(P30:P37)</f>
        <v>14.199589063992359</v>
      </c>
      <c r="Q38" s="43"/>
      <c r="R38" s="43"/>
      <c r="S38" s="107"/>
      <c r="T38" s="81"/>
      <c r="U38" s="81"/>
      <c r="V38" s="81"/>
      <c r="W38" s="81"/>
      <c r="X38" s="81"/>
    </row>
    <row r="39" spans="1:26" ht="15" customHeight="1" x14ac:dyDescent="0.25">
      <c r="A39" s="85"/>
      <c r="B39" s="85" t="s">
        <v>34</v>
      </c>
      <c r="C39" s="85"/>
      <c r="D39" s="85">
        <f>D37+D38</f>
        <v>4806.4960000000001</v>
      </c>
      <c r="E39" s="85" t="s">
        <v>208</v>
      </c>
      <c r="F39" s="85"/>
      <c r="G39" s="85">
        <f>SUM(G31:G37)</f>
        <v>0</v>
      </c>
      <c r="H39" s="85" t="s">
        <v>209</v>
      </c>
      <c r="I39" s="85"/>
      <c r="J39" s="85">
        <f>SUM(J31:J37)</f>
        <v>2938.5039999999999</v>
      </c>
      <c r="K39" s="96"/>
      <c r="L39" s="43"/>
      <c r="M39" s="43"/>
      <c r="N39" s="43"/>
      <c r="O39" s="43"/>
      <c r="P39" s="43"/>
      <c r="Q39" s="43"/>
      <c r="R39" s="43"/>
      <c r="S39" s="43"/>
      <c r="T39" s="81"/>
      <c r="U39" s="81"/>
      <c r="V39" s="81"/>
      <c r="W39" s="81"/>
      <c r="X39" s="81"/>
    </row>
    <row r="40" spans="1:26" ht="15" customHeight="1" x14ac:dyDescent="0.25">
      <c r="A40" s="28"/>
      <c r="B40" s="43"/>
      <c r="C40" s="43"/>
      <c r="D40" s="43"/>
      <c r="E40" s="43"/>
      <c r="F40" s="43"/>
      <c r="G40" s="43"/>
      <c r="H40" s="43"/>
      <c r="I40" s="43"/>
      <c r="J40" s="43"/>
      <c r="K40" s="43"/>
      <c r="L40" s="43"/>
      <c r="M40" s="43"/>
      <c r="N40" s="43"/>
      <c r="O40" s="43"/>
      <c r="P40" s="43"/>
      <c r="Q40" s="43"/>
      <c r="R40" s="43"/>
      <c r="S40" s="43"/>
      <c r="T40" s="43"/>
      <c r="U40" s="43"/>
      <c r="V40" s="43"/>
      <c r="W40" s="43"/>
      <c r="X40" s="43"/>
    </row>
    <row r="41" spans="1:26" ht="15" customHeight="1" x14ac:dyDescent="0.3">
      <c r="A41" s="15" t="s">
        <v>210</v>
      </c>
      <c r="B41" s="29"/>
      <c r="C41" s="30"/>
      <c r="D41" s="30"/>
      <c r="E41" s="30"/>
      <c r="F41" s="30"/>
      <c r="G41" s="30"/>
      <c r="H41" s="30"/>
      <c r="I41" s="16" t="s">
        <v>211</v>
      </c>
      <c r="J41" s="30"/>
      <c r="K41" s="30"/>
      <c r="L41" s="35"/>
      <c r="M41" s="43"/>
      <c r="N41" s="43"/>
      <c r="O41" s="43"/>
      <c r="P41" s="43"/>
      <c r="Q41" s="43"/>
      <c r="R41" s="43"/>
      <c r="S41" s="43"/>
      <c r="T41" s="43"/>
      <c r="U41" s="43"/>
      <c r="V41" s="43"/>
      <c r="W41" s="43"/>
      <c r="X41" s="43"/>
    </row>
    <row r="42" spans="1:26" ht="15.75" customHeight="1" x14ac:dyDescent="0.25">
      <c r="A42" s="19"/>
      <c r="B42" s="43"/>
      <c r="C42" s="62" t="s">
        <v>212</v>
      </c>
      <c r="D42" s="108" t="s">
        <v>671</v>
      </c>
      <c r="E42" s="108" t="s">
        <v>672</v>
      </c>
      <c r="F42" s="43" t="s">
        <v>191</v>
      </c>
      <c r="G42" s="62" t="s">
        <v>215</v>
      </c>
      <c r="H42" s="62" t="s">
        <v>216</v>
      </c>
      <c r="I42" s="62" t="s">
        <v>217</v>
      </c>
      <c r="J42" s="62" t="s">
        <v>218</v>
      </c>
      <c r="K42" s="62" t="s">
        <v>219</v>
      </c>
      <c r="L42" s="94" t="s">
        <v>220</v>
      </c>
      <c r="M42" s="43"/>
      <c r="O42" s="43"/>
      <c r="P42" s="43"/>
      <c r="S42" s="43"/>
      <c r="T42" s="43"/>
      <c r="U42" s="43"/>
      <c r="V42" s="43"/>
      <c r="W42" s="43"/>
      <c r="X42" s="43"/>
    </row>
    <row r="43" spans="1:26" ht="15" customHeight="1" x14ac:dyDescent="0.25">
      <c r="A43" s="19"/>
      <c r="B43" s="43" t="s">
        <v>3</v>
      </c>
      <c r="C43" s="109">
        <f>C11</f>
        <v>45657</v>
      </c>
      <c r="D43" s="36">
        <v>45565</v>
      </c>
      <c r="E43" s="36">
        <v>45930</v>
      </c>
      <c r="F43" s="43"/>
      <c r="G43" s="109">
        <f>C13</f>
        <v>45930</v>
      </c>
      <c r="H43" s="109">
        <f>C43</f>
        <v>45657</v>
      </c>
      <c r="I43" s="109">
        <f>EDATE(C43,12)</f>
        <v>46022</v>
      </c>
      <c r="J43" s="109">
        <f>EDATE(I43,12)</f>
        <v>46387</v>
      </c>
      <c r="K43" s="109">
        <f>EDATE(J43,12)</f>
        <v>46752</v>
      </c>
      <c r="L43" s="93">
        <f>EDATE(K43,12)</f>
        <v>47118</v>
      </c>
      <c r="M43" s="43"/>
      <c r="N43" s="43"/>
      <c r="O43" s="43"/>
      <c r="P43" s="43"/>
      <c r="Q43" s="43"/>
      <c r="R43" s="43"/>
      <c r="S43" s="43"/>
      <c r="T43" s="43"/>
      <c r="U43" s="43"/>
      <c r="V43" s="43"/>
      <c r="W43" s="43"/>
      <c r="X43" s="43"/>
      <c r="Y43" s="43"/>
      <c r="Z43" s="43"/>
    </row>
    <row r="44" spans="1:26" ht="15" customHeight="1" x14ac:dyDescent="0.25">
      <c r="A44" s="19"/>
      <c r="B44" s="43" t="s">
        <v>75</v>
      </c>
      <c r="C44" s="14">
        <v>7492.7089999999998</v>
      </c>
      <c r="D44" s="14">
        <v>5680.6679999999997</v>
      </c>
      <c r="E44" s="14">
        <v>6163.29</v>
      </c>
      <c r="F44" s="14">
        <v>0</v>
      </c>
      <c r="G44" s="43">
        <f>C44-D44+E44+F44</f>
        <v>7975.3310000000001</v>
      </c>
      <c r="H44" s="43">
        <f>C44</f>
        <v>7492.7089999999998</v>
      </c>
      <c r="I44" s="14">
        <v>8207</v>
      </c>
      <c r="J44" s="53">
        <v>9006.9</v>
      </c>
      <c r="K44" s="53">
        <v>9819.6</v>
      </c>
      <c r="L44" s="37"/>
      <c r="M44" s="156"/>
      <c r="N44" s="43"/>
      <c r="O44" s="43"/>
      <c r="P44" s="43"/>
      <c r="Q44" s="43"/>
      <c r="R44" s="43"/>
      <c r="S44" s="43"/>
      <c r="T44" s="43"/>
      <c r="U44" s="43"/>
      <c r="V44" s="43"/>
      <c r="W44" s="43"/>
      <c r="X44" s="43"/>
      <c r="Y44" s="43"/>
      <c r="Z44" s="43"/>
    </row>
    <row r="45" spans="1:26" ht="15" customHeight="1" x14ac:dyDescent="0.25">
      <c r="A45" s="19"/>
      <c r="B45" s="43" t="s">
        <v>711</v>
      </c>
      <c r="C45" s="3">
        <v>1902</v>
      </c>
      <c r="D45" s="3">
        <v>0</v>
      </c>
      <c r="E45" s="3">
        <v>0</v>
      </c>
      <c r="F45" s="43"/>
      <c r="G45" s="43"/>
      <c r="H45" s="38"/>
      <c r="I45" s="43"/>
      <c r="J45" s="51"/>
      <c r="K45" s="51"/>
      <c r="L45" s="37"/>
      <c r="M45" s="43"/>
      <c r="N45" s="43"/>
      <c r="O45" s="43"/>
      <c r="P45" s="43"/>
      <c r="Q45" s="43"/>
      <c r="R45" s="43"/>
      <c r="S45" s="43"/>
      <c r="T45" s="43"/>
      <c r="U45" s="43"/>
      <c r="V45" s="43"/>
      <c r="W45" s="43"/>
      <c r="X45" s="43"/>
      <c r="Y45" s="43"/>
      <c r="Z45" s="43"/>
    </row>
    <row r="46" spans="1:26" ht="15" customHeight="1" x14ac:dyDescent="0.25">
      <c r="A46" s="19"/>
      <c r="B46" s="43" t="s">
        <v>15</v>
      </c>
      <c r="C46" s="14">
        <v>2103.7829999999999</v>
      </c>
      <c r="D46" s="14">
        <v>1618.4110000000001</v>
      </c>
      <c r="E46" s="14">
        <v>1964.972</v>
      </c>
      <c r="F46" s="43"/>
      <c r="G46" s="43"/>
      <c r="H46" s="43"/>
      <c r="I46" s="43"/>
      <c r="J46" s="51"/>
      <c r="K46" s="51"/>
      <c r="L46" s="94"/>
      <c r="M46" s="43"/>
      <c r="N46" s="43"/>
      <c r="O46" s="43"/>
      <c r="P46" s="43"/>
      <c r="Q46" s="43"/>
      <c r="R46" s="43"/>
      <c r="S46" s="43"/>
      <c r="T46" s="43"/>
      <c r="U46" s="43"/>
      <c r="V46" s="43"/>
      <c r="W46" s="43"/>
      <c r="X46" s="43"/>
      <c r="Y46" s="43"/>
      <c r="Z46" s="43"/>
    </row>
    <row r="47" spans="1:26" ht="15" customHeight="1" x14ac:dyDescent="0.25">
      <c r="A47" s="19"/>
      <c r="B47" s="7" t="s">
        <v>16</v>
      </c>
      <c r="C47" s="14">
        <v>0</v>
      </c>
      <c r="D47" s="14">
        <v>0</v>
      </c>
      <c r="E47" s="14">
        <v>0</v>
      </c>
      <c r="F47" s="43"/>
      <c r="G47" s="43"/>
      <c r="H47" s="43"/>
      <c r="I47" s="43"/>
      <c r="J47" s="51"/>
      <c r="K47" s="51"/>
      <c r="L47" s="94"/>
      <c r="M47" s="43"/>
      <c r="N47" s="43"/>
      <c r="O47" s="43"/>
      <c r="P47" s="43"/>
      <c r="Q47" s="43"/>
      <c r="R47" s="43"/>
      <c r="S47" s="43"/>
      <c r="T47" s="43"/>
      <c r="U47" s="43"/>
      <c r="V47" s="43"/>
      <c r="W47" s="43"/>
      <c r="X47" s="43"/>
      <c r="Y47" s="43"/>
      <c r="Z47" s="43"/>
    </row>
    <row r="48" spans="1:26" ht="15" customHeight="1" x14ac:dyDescent="0.25">
      <c r="A48" s="19"/>
      <c r="B48" s="7" t="s">
        <v>16</v>
      </c>
      <c r="C48" s="14">
        <v>0</v>
      </c>
      <c r="D48" s="14">
        <v>0</v>
      </c>
      <c r="E48" s="14">
        <v>0</v>
      </c>
      <c r="F48" s="43"/>
      <c r="G48" s="43"/>
      <c r="H48" s="43"/>
      <c r="I48" s="43"/>
      <c r="J48" s="51"/>
      <c r="K48" s="51"/>
      <c r="L48" s="94"/>
      <c r="M48" s="43"/>
      <c r="N48" s="43"/>
      <c r="O48" s="43"/>
      <c r="P48" s="43"/>
      <c r="Q48" s="43"/>
      <c r="R48" s="43"/>
      <c r="S48" s="43"/>
      <c r="T48" s="43"/>
      <c r="U48" s="43"/>
      <c r="V48" s="43"/>
      <c r="W48" s="43"/>
      <c r="X48" s="43"/>
      <c r="Y48" s="43"/>
      <c r="Z48" s="43"/>
    </row>
    <row r="49" spans="1:26" ht="15" customHeight="1" x14ac:dyDescent="0.25">
      <c r="A49" s="19"/>
      <c r="B49" s="7" t="s">
        <v>16</v>
      </c>
      <c r="C49" s="14">
        <v>0</v>
      </c>
      <c r="D49" s="14">
        <v>0</v>
      </c>
      <c r="E49" s="14">
        <v>0</v>
      </c>
      <c r="F49" s="43"/>
      <c r="G49" s="43"/>
      <c r="H49" s="43"/>
      <c r="I49" s="43"/>
      <c r="J49" s="51"/>
      <c r="K49" s="51"/>
      <c r="L49" s="94"/>
      <c r="M49" s="43"/>
      <c r="N49" s="43"/>
      <c r="O49" s="43"/>
      <c r="P49" s="43"/>
      <c r="Q49" s="43"/>
      <c r="R49" s="43"/>
      <c r="S49" s="43"/>
      <c r="T49" s="43"/>
      <c r="U49" s="43"/>
      <c r="V49" s="43"/>
      <c r="W49" s="43"/>
      <c r="X49" s="43"/>
      <c r="Y49" s="43"/>
      <c r="Z49" s="43"/>
    </row>
    <row r="50" spans="1:26" ht="15" customHeight="1" x14ac:dyDescent="0.25">
      <c r="A50" s="19">
        <v>1</v>
      </c>
      <c r="B50" s="7" t="s">
        <v>16</v>
      </c>
      <c r="C50" s="14">
        <v>0</v>
      </c>
      <c r="D50" s="14">
        <v>0</v>
      </c>
      <c r="E50" s="14">
        <v>0</v>
      </c>
      <c r="F50" s="43"/>
      <c r="G50" s="43"/>
      <c r="H50" s="43"/>
      <c r="I50" s="43"/>
      <c r="J50" s="51"/>
      <c r="K50" s="51"/>
      <c r="L50" s="94"/>
      <c r="M50" s="43"/>
      <c r="N50" s="43"/>
      <c r="O50" s="43"/>
      <c r="P50" s="43"/>
      <c r="Q50" s="43"/>
      <c r="R50" s="43"/>
      <c r="S50" s="43"/>
      <c r="T50" s="43"/>
      <c r="U50" s="43"/>
      <c r="V50" s="43"/>
      <c r="W50" s="43"/>
      <c r="X50" s="43"/>
      <c r="Y50" s="43"/>
      <c r="Z50" s="43"/>
    </row>
    <row r="51" spans="1:26" ht="15" customHeight="1" x14ac:dyDescent="0.25">
      <c r="A51" s="19"/>
      <c r="B51" s="7" t="s">
        <v>16</v>
      </c>
      <c r="C51" s="14">
        <v>0</v>
      </c>
      <c r="D51" s="14">
        <v>0</v>
      </c>
      <c r="E51" s="14">
        <v>0</v>
      </c>
      <c r="F51" s="43"/>
      <c r="G51" s="43"/>
      <c r="H51" s="43"/>
      <c r="I51" s="43"/>
      <c r="J51" s="51"/>
      <c r="K51" s="51"/>
      <c r="L51" s="94"/>
      <c r="M51" s="43"/>
      <c r="N51" s="43"/>
      <c r="O51" s="43"/>
      <c r="P51" s="43"/>
      <c r="Q51" s="43"/>
      <c r="R51" s="43"/>
      <c r="S51" s="43"/>
      <c r="T51" s="43"/>
      <c r="U51" s="43"/>
      <c r="V51" s="43"/>
      <c r="W51" s="43"/>
      <c r="X51" s="43"/>
      <c r="Y51" s="43"/>
      <c r="Z51" s="43"/>
    </row>
    <row r="52" spans="1:26" ht="15" customHeight="1" x14ac:dyDescent="0.25">
      <c r="A52" s="19"/>
      <c r="B52" s="7" t="s">
        <v>16</v>
      </c>
      <c r="C52" s="14">
        <v>0</v>
      </c>
      <c r="D52" s="14">
        <v>0</v>
      </c>
      <c r="E52" s="14">
        <v>0</v>
      </c>
      <c r="F52" s="43"/>
      <c r="G52" s="43"/>
      <c r="H52" s="43"/>
      <c r="J52" s="52"/>
      <c r="K52" s="51"/>
      <c r="L52" s="94"/>
      <c r="M52" s="43"/>
      <c r="N52" s="43"/>
      <c r="O52" s="43"/>
      <c r="P52" s="43"/>
      <c r="Q52" s="43"/>
      <c r="R52" s="43"/>
      <c r="S52" s="43"/>
      <c r="T52" s="43"/>
      <c r="U52" s="43"/>
      <c r="V52" s="43"/>
      <c r="W52" s="43"/>
      <c r="X52" s="43"/>
      <c r="Y52" s="43"/>
      <c r="Z52" s="43"/>
    </row>
    <row r="53" spans="1:26" ht="15" customHeight="1" x14ac:dyDescent="0.25">
      <c r="A53" s="19"/>
      <c r="B53" s="43" t="s">
        <v>17</v>
      </c>
      <c r="C53" s="43">
        <f>SUM(C46:C52)</f>
        <v>2103.7829999999999</v>
      </c>
      <c r="D53" s="43">
        <f>SUM(D46:D52)</f>
        <v>1618.4110000000001</v>
      </c>
      <c r="E53" s="43">
        <f>SUM(E46:E52)</f>
        <v>1964.972</v>
      </c>
      <c r="F53" s="43">
        <f>SUM(F46:F52)</f>
        <v>0</v>
      </c>
      <c r="G53" s="43">
        <f>C53-D53+E53+F53</f>
        <v>2450.3440000000001</v>
      </c>
      <c r="H53" s="43">
        <f>C53</f>
        <v>2103.7829999999999</v>
      </c>
      <c r="I53" s="43">
        <f>I55-I54</f>
        <v>2537.9</v>
      </c>
      <c r="J53" s="43">
        <f t="shared" ref="J53:K53" si="1">J55-J54</f>
        <v>2834.6</v>
      </c>
      <c r="K53" s="43">
        <f t="shared" si="1"/>
        <v>3132.8</v>
      </c>
      <c r="L53" s="37"/>
      <c r="M53" s="43"/>
      <c r="N53" s="43"/>
      <c r="O53" s="43"/>
      <c r="P53" s="43"/>
      <c r="Q53" s="43"/>
      <c r="R53" s="43"/>
      <c r="S53" s="43"/>
      <c r="T53" s="43"/>
      <c r="U53" s="43"/>
      <c r="V53" s="43"/>
      <c r="W53" s="43"/>
      <c r="X53" s="43"/>
      <c r="Y53" s="43"/>
      <c r="Z53" s="43"/>
    </row>
    <row r="54" spans="1:26" ht="15" customHeight="1" x14ac:dyDescent="0.25">
      <c r="A54" s="19"/>
      <c r="B54" s="43" t="s">
        <v>222</v>
      </c>
      <c r="C54" s="14">
        <v>80.433999999999997</v>
      </c>
      <c r="D54" s="14">
        <v>59.822000000000003</v>
      </c>
      <c r="E54" s="14">
        <v>82.022999999999996</v>
      </c>
      <c r="F54" s="14">
        <v>0</v>
      </c>
      <c r="G54" s="43">
        <f>C54-D54+E54+F54</f>
        <v>102.63499999999999</v>
      </c>
      <c r="H54" s="43">
        <f>C54</f>
        <v>80.433999999999997</v>
      </c>
      <c r="I54" s="56">
        <v>80</v>
      </c>
      <c r="J54" s="56">
        <v>80</v>
      </c>
      <c r="K54" s="56">
        <v>80</v>
      </c>
      <c r="L54" s="37" t="s">
        <v>221</v>
      </c>
      <c r="M54" s="43"/>
      <c r="N54" s="43"/>
      <c r="O54" s="43"/>
      <c r="P54" s="43"/>
      <c r="Q54" s="43"/>
      <c r="R54" s="43"/>
      <c r="S54" s="43"/>
      <c r="T54" s="43"/>
      <c r="U54" s="43"/>
      <c r="V54" s="43"/>
      <c r="W54" s="43"/>
      <c r="X54" s="43"/>
      <c r="Y54" s="43"/>
      <c r="Z54" s="43"/>
    </row>
    <row r="55" spans="1:26" ht="15" customHeight="1" x14ac:dyDescent="0.25">
      <c r="A55" s="19"/>
      <c r="B55" s="43" t="s">
        <v>223</v>
      </c>
      <c r="C55" s="43">
        <f>C53+C54</f>
        <v>2184.2170000000001</v>
      </c>
      <c r="D55" s="43">
        <f>D53+D54</f>
        <v>1678.2330000000002</v>
      </c>
      <c r="E55" s="43">
        <f>E53+E54</f>
        <v>2046.9949999999999</v>
      </c>
      <c r="F55" s="43"/>
      <c r="G55" s="43">
        <f>C55-D55+E55+F55</f>
        <v>2552.9789999999998</v>
      </c>
      <c r="H55" s="43">
        <f>C55</f>
        <v>2184.2170000000001</v>
      </c>
      <c r="I55" s="14">
        <v>2617.9</v>
      </c>
      <c r="J55" s="53">
        <v>2914.6</v>
      </c>
      <c r="K55" s="53">
        <v>3212.8</v>
      </c>
      <c r="L55" s="37"/>
      <c r="M55" s="43"/>
      <c r="N55" s="43"/>
      <c r="O55" s="43"/>
      <c r="P55" s="43"/>
      <c r="Q55" s="43"/>
      <c r="R55" s="43"/>
      <c r="S55" s="43"/>
      <c r="T55" s="43"/>
      <c r="U55" s="43"/>
      <c r="V55" s="43"/>
      <c r="W55" s="43"/>
      <c r="X55" s="43"/>
      <c r="Y55" s="43"/>
      <c r="Z55" s="43"/>
    </row>
    <row r="56" spans="1:26" ht="15" customHeight="1" x14ac:dyDescent="0.25">
      <c r="A56" s="28"/>
      <c r="B56" s="85" t="s">
        <v>159</v>
      </c>
      <c r="C56" s="85"/>
      <c r="D56" s="110"/>
      <c r="E56" s="110"/>
      <c r="F56" s="110"/>
      <c r="G56" s="85"/>
      <c r="H56" s="151"/>
      <c r="I56" s="151">
        <v>1.99</v>
      </c>
      <c r="J56" s="151">
        <v>2.2599999999999998</v>
      </c>
      <c r="K56" s="151">
        <v>2.5499999999999998</v>
      </c>
      <c r="L56" s="39"/>
      <c r="M56" s="43"/>
      <c r="N56" s="43"/>
      <c r="O56" s="43"/>
      <c r="P56" s="43"/>
      <c r="Q56" s="43"/>
      <c r="R56" s="43"/>
      <c r="S56" s="43"/>
      <c r="T56" s="43"/>
      <c r="U56" s="43"/>
      <c r="V56" s="43"/>
      <c r="W56" s="43"/>
      <c r="X56" s="43"/>
      <c r="Y56" s="43"/>
      <c r="Z56" s="43"/>
    </row>
    <row r="57" spans="1:26" ht="15" customHeight="1" x14ac:dyDescent="0.25">
      <c r="A57" s="40"/>
      <c r="B57" s="43"/>
      <c r="C57" s="43"/>
      <c r="D57" s="43"/>
      <c r="E57" s="43"/>
      <c r="F57" s="43"/>
      <c r="G57" s="43"/>
      <c r="H57" s="43"/>
      <c r="I57" s="43"/>
      <c r="J57" s="43"/>
      <c r="K57" s="43"/>
      <c r="L57" s="43"/>
      <c r="M57" s="43"/>
      <c r="N57" s="43"/>
      <c r="O57" s="43"/>
      <c r="P57" s="43"/>
      <c r="Q57" s="43"/>
      <c r="R57" s="43"/>
      <c r="S57" s="43"/>
      <c r="T57" s="43"/>
      <c r="U57" s="43"/>
      <c r="V57" s="43"/>
      <c r="W57" s="43"/>
      <c r="X57" s="43"/>
      <c r="Y57" s="43"/>
      <c r="Z57" s="43"/>
    </row>
    <row r="58" spans="1:26" ht="15" customHeight="1" x14ac:dyDescent="0.3">
      <c r="A58" s="15" t="s">
        <v>224</v>
      </c>
      <c r="B58" s="29"/>
      <c r="C58" s="30"/>
      <c r="D58" s="30"/>
      <c r="E58" s="30"/>
      <c r="F58" s="30"/>
      <c r="G58" s="30"/>
      <c r="H58" s="30"/>
      <c r="I58" s="16"/>
      <c r="J58" s="30"/>
      <c r="K58" s="30"/>
      <c r="L58" s="66"/>
      <c r="M58" s="43"/>
      <c r="N58" s="43"/>
      <c r="O58" s="43"/>
      <c r="P58" s="43"/>
      <c r="Q58" s="43"/>
      <c r="R58" s="43"/>
      <c r="S58" s="43"/>
      <c r="T58" s="43"/>
      <c r="U58" s="43"/>
      <c r="V58" s="43"/>
      <c r="W58" s="43"/>
      <c r="X58" s="43"/>
      <c r="Y58" s="43"/>
      <c r="Z58" s="43"/>
    </row>
    <row r="59" spans="1:26" ht="15" customHeight="1" x14ac:dyDescent="0.25">
      <c r="A59" s="40"/>
      <c r="B59" s="43"/>
      <c r="C59" s="43" t="str">
        <f t="shared" ref="C59:L59" si="2">C42</f>
        <v>Annual</v>
      </c>
      <c r="D59" s="43" t="str">
        <f>D42</f>
        <v>Last 9 months 2024</v>
      </c>
      <c r="E59" s="43" t="str">
        <f>E42</f>
        <v>Last 9 months 2025</v>
      </c>
      <c r="F59" s="43" t="str">
        <f t="shared" si="2"/>
        <v>Other adjustments</v>
      </c>
      <c r="G59" s="43" t="str">
        <f t="shared" si="2"/>
        <v>Adj. LTM</v>
      </c>
      <c r="H59" s="43" t="str">
        <f t="shared" si="2"/>
        <v>Fiscal Year</v>
      </c>
      <c r="I59" s="43" t="str">
        <f t="shared" si="2"/>
        <v>FY +1</v>
      </c>
      <c r="J59" s="43" t="str">
        <f t="shared" si="2"/>
        <v>FY +2</v>
      </c>
      <c r="K59" s="43" t="str">
        <f t="shared" si="2"/>
        <v>FY +3</v>
      </c>
      <c r="L59" s="111" t="str">
        <f t="shared" si="2"/>
        <v>FY +4</v>
      </c>
      <c r="M59" s="43"/>
      <c r="N59" s="43"/>
      <c r="O59" s="43"/>
      <c r="P59" s="43"/>
      <c r="Q59" s="43"/>
      <c r="R59" s="43"/>
      <c r="S59" s="43"/>
      <c r="T59" s="43"/>
      <c r="U59" s="43"/>
      <c r="V59" s="43"/>
      <c r="W59" s="43"/>
      <c r="X59" s="43"/>
      <c r="Y59" s="43"/>
      <c r="Z59" s="43"/>
    </row>
    <row r="60" spans="1:26" ht="15" customHeight="1" x14ac:dyDescent="0.25">
      <c r="A60" s="40"/>
      <c r="B60" s="43"/>
      <c r="C60" s="112">
        <f>C43</f>
        <v>45657</v>
      </c>
      <c r="D60" s="112">
        <f>D43</f>
        <v>45565</v>
      </c>
      <c r="E60" s="112">
        <f>E43</f>
        <v>45930</v>
      </c>
      <c r="F60" s="43"/>
      <c r="G60" s="112">
        <f>C13</f>
        <v>45930</v>
      </c>
      <c r="H60" s="109">
        <f>C60</f>
        <v>45657</v>
      </c>
      <c r="I60" s="109">
        <f>EDATE(C60,12)</f>
        <v>46022</v>
      </c>
      <c r="J60" s="109">
        <f>EDATE(I60,12)</f>
        <v>46387</v>
      </c>
      <c r="K60" s="112">
        <f>EDATE(J60,12)</f>
        <v>46752</v>
      </c>
      <c r="L60" s="113">
        <f>EDATE(K60,12)</f>
        <v>47118</v>
      </c>
      <c r="M60" s="43"/>
      <c r="N60" s="43"/>
      <c r="O60" s="43"/>
      <c r="P60" s="43"/>
      <c r="Q60" s="43"/>
      <c r="R60" s="43"/>
      <c r="S60" s="43"/>
      <c r="T60" s="43"/>
      <c r="U60" s="43"/>
      <c r="V60" s="43"/>
      <c r="W60" s="43"/>
      <c r="X60" s="43"/>
      <c r="Y60" s="43"/>
      <c r="Z60" s="43"/>
    </row>
    <row r="61" spans="1:26" ht="15" customHeight="1" x14ac:dyDescent="0.25">
      <c r="A61" s="40"/>
      <c r="B61" s="43" t="s">
        <v>225</v>
      </c>
      <c r="C61" s="65">
        <v>0.33300000000000002</v>
      </c>
      <c r="D61" s="43"/>
      <c r="E61" s="43"/>
      <c r="F61" s="43"/>
      <c r="G61" s="43"/>
      <c r="H61" s="43"/>
      <c r="I61" s="43"/>
      <c r="J61" s="43"/>
      <c r="K61" s="43"/>
      <c r="L61" s="111"/>
      <c r="M61" s="43"/>
      <c r="N61" s="43"/>
      <c r="O61" s="43"/>
      <c r="P61" s="43"/>
      <c r="Q61" s="43"/>
      <c r="R61" s="43"/>
      <c r="S61" s="43"/>
      <c r="T61" s="43"/>
      <c r="U61" s="43"/>
      <c r="V61" s="43"/>
      <c r="W61" s="43"/>
      <c r="X61" s="43"/>
      <c r="Y61" s="43"/>
      <c r="Z61" s="43"/>
    </row>
    <row r="62" spans="1:26" ht="15" customHeight="1" x14ac:dyDescent="0.25">
      <c r="A62" s="40"/>
      <c r="B62" s="43" t="s">
        <v>226</v>
      </c>
      <c r="C62" s="70">
        <v>15.795999999999999</v>
      </c>
      <c r="D62" s="70">
        <v>0</v>
      </c>
      <c r="E62" s="70">
        <v>0</v>
      </c>
      <c r="F62" s="43"/>
      <c r="G62" s="43">
        <f>C62-D62+E62+F62</f>
        <v>15.795999999999999</v>
      </c>
      <c r="H62" s="43">
        <f>C62</f>
        <v>15.795999999999999</v>
      </c>
      <c r="I62" s="43">
        <f>H62/H44*I44</f>
        <v>17.301855977591014</v>
      </c>
      <c r="J62" s="43">
        <f>I62/I44*J44</f>
        <v>18.988191373774157</v>
      </c>
      <c r="K62" s="43">
        <f>J62/J44*K44</f>
        <v>20.701511509388663</v>
      </c>
      <c r="L62" s="37" t="s">
        <v>221</v>
      </c>
      <c r="M62" s="43"/>
      <c r="N62" s="43"/>
      <c r="O62" s="43"/>
      <c r="P62" s="43"/>
      <c r="Q62" s="43"/>
      <c r="R62" s="43"/>
      <c r="S62" s="43"/>
      <c r="T62" s="43"/>
      <c r="U62" s="43"/>
      <c r="V62" s="43"/>
      <c r="W62" s="43"/>
      <c r="X62" s="43"/>
      <c r="Y62" s="43"/>
      <c r="Z62" s="43"/>
    </row>
    <row r="63" spans="1:26" ht="15" customHeight="1" x14ac:dyDescent="0.25">
      <c r="A63" s="40"/>
      <c r="B63" s="43" t="s">
        <v>227</v>
      </c>
      <c r="C63" s="43">
        <f>C55+C62</f>
        <v>2200.0129999999999</v>
      </c>
      <c r="D63" s="43">
        <f>D55+D62</f>
        <v>1678.2330000000002</v>
      </c>
      <c r="E63" s="43">
        <f>E55+E62</f>
        <v>2046.9949999999999</v>
      </c>
      <c r="F63" s="43"/>
      <c r="G63" s="43">
        <f>C63-D63+E63+F63</f>
        <v>2568.7749999999996</v>
      </c>
      <c r="H63" s="43">
        <f>C63</f>
        <v>2200.0129999999999</v>
      </c>
      <c r="I63" s="43">
        <f>I55+I62</f>
        <v>2635.2018559775911</v>
      </c>
      <c r="J63" s="43">
        <f>J55+J62</f>
        <v>2933.588191373774</v>
      </c>
      <c r="K63" s="43">
        <f>K55+K62</f>
        <v>3233.5015115093888</v>
      </c>
      <c r="L63" s="37" t="s">
        <v>221</v>
      </c>
      <c r="M63" s="43"/>
      <c r="N63" s="43"/>
      <c r="O63" s="43"/>
      <c r="P63" s="43"/>
      <c r="Q63" s="43"/>
      <c r="R63" s="43"/>
      <c r="S63" s="43"/>
      <c r="T63" s="43"/>
      <c r="U63" s="43"/>
      <c r="V63" s="43"/>
      <c r="W63" s="43"/>
      <c r="X63" s="43"/>
      <c r="Y63" s="43"/>
      <c r="Z63" s="43"/>
    </row>
    <row r="64" spans="1:26" ht="15" customHeight="1" x14ac:dyDescent="0.25">
      <c r="A64" s="40"/>
      <c r="B64" s="43" t="s">
        <v>228</v>
      </c>
      <c r="C64" s="43">
        <f>C53+$C$61*C62</f>
        <v>2109.0430679999999</v>
      </c>
      <c r="D64" s="43">
        <f>D53+$C$61*D62</f>
        <v>1618.4110000000001</v>
      </c>
      <c r="E64" s="43">
        <f>E53+$C$61*E62</f>
        <v>1964.972</v>
      </c>
      <c r="F64" s="43"/>
      <c r="G64" s="43">
        <f>C64-D64+E64+F64</f>
        <v>2455.6040679999996</v>
      </c>
      <c r="H64" s="43">
        <f>C64</f>
        <v>2109.0430679999999</v>
      </c>
      <c r="I64" s="43">
        <f>I53+$C$61*I62</f>
        <v>2543.6615180405379</v>
      </c>
      <c r="J64" s="43">
        <f>J53+$C$61*J62</f>
        <v>2840.9230677274668</v>
      </c>
      <c r="K64" s="43">
        <f>K53+$C$61*K62</f>
        <v>3139.6936033326265</v>
      </c>
      <c r="L64" s="37" t="s">
        <v>221</v>
      </c>
      <c r="M64" s="43"/>
      <c r="N64" s="43"/>
      <c r="O64" s="43"/>
      <c r="P64" s="43"/>
      <c r="Q64" s="43"/>
      <c r="R64" s="43"/>
      <c r="S64" s="43"/>
      <c r="T64" s="43"/>
      <c r="U64" s="43"/>
      <c r="V64" s="43"/>
      <c r="W64" s="43"/>
      <c r="X64" s="43"/>
      <c r="Y64" s="43"/>
      <c r="Z64" s="43"/>
    </row>
    <row r="65" spans="1:26" ht="15" customHeight="1" x14ac:dyDescent="0.25">
      <c r="A65" s="40"/>
      <c r="B65" s="43" t="s">
        <v>229</v>
      </c>
      <c r="C65" s="43"/>
      <c r="D65" s="43"/>
      <c r="E65" s="43"/>
      <c r="F65" s="43"/>
      <c r="G65" s="70">
        <v>56.387</v>
      </c>
      <c r="H65" s="43"/>
      <c r="I65" s="43"/>
      <c r="J65" s="43"/>
      <c r="K65" s="43"/>
      <c r="L65" s="111"/>
      <c r="M65" s="43"/>
      <c r="N65" s="43"/>
      <c r="O65" s="43"/>
      <c r="P65" s="43"/>
      <c r="Q65" s="43"/>
      <c r="R65" s="43"/>
      <c r="S65" s="43"/>
      <c r="T65" s="43"/>
      <c r="U65" s="43"/>
      <c r="V65" s="43"/>
      <c r="W65" s="43"/>
      <c r="X65" s="43"/>
      <c r="Y65" s="43"/>
      <c r="Z65" s="43"/>
    </row>
    <row r="66" spans="1:26" ht="15" customHeight="1" x14ac:dyDescent="0.25">
      <c r="A66" s="40"/>
      <c r="B66" s="43"/>
      <c r="C66" s="43"/>
      <c r="D66" s="43"/>
      <c r="E66" s="43"/>
      <c r="F66" s="43"/>
      <c r="G66" s="43"/>
      <c r="H66" s="43"/>
      <c r="I66" s="43"/>
      <c r="J66" s="43"/>
      <c r="K66" s="43"/>
      <c r="L66" s="111"/>
      <c r="M66" s="43"/>
      <c r="N66" s="43"/>
      <c r="O66" s="43"/>
      <c r="P66" s="43"/>
      <c r="Q66" s="43"/>
      <c r="R66" s="43"/>
      <c r="S66" s="43"/>
      <c r="T66" s="43"/>
      <c r="U66" s="43"/>
      <c r="V66" s="43"/>
      <c r="W66" s="43"/>
      <c r="X66" s="43"/>
      <c r="Y66" s="43"/>
      <c r="Z66" s="43"/>
    </row>
    <row r="67" spans="1:26" ht="15" customHeight="1" x14ac:dyDescent="0.25">
      <c r="A67" s="40"/>
      <c r="B67" s="43" t="str">
        <f>"Calendarized EBITDAR in "&amp;MAIN_CURRENCY&amp;" MM"</f>
        <v>Calendarized EBITDAR in USD MM</v>
      </c>
      <c r="C67" s="43"/>
      <c r="D67" s="43"/>
      <c r="E67" s="43"/>
      <c r="F67" s="43"/>
      <c r="G67" s="43">
        <f>G63*COMP_FX</f>
        <v>2568.7749999999996</v>
      </c>
      <c r="H67" s="43"/>
      <c r="I67" s="43">
        <f>IF(I$80&gt;0,SUMPRODUCT('3'!COMP_CALENDARIZE_PERCENTAGES,H63:J63)*I$81*'3'!COMP_FX,"N/A")</f>
        <v>2933.588191373774</v>
      </c>
      <c r="J67" s="43">
        <f>IF(J$80&gt;0,SUMPRODUCT('3'!COMP_CALENDARIZE_PERCENTAGES,I63:K63)*J$81*'3'!COMP_FX,"N/A")</f>
        <v>3233.5015115093888</v>
      </c>
      <c r="K67" s="43" t="str">
        <f>IF(K$80&gt;0,SUMPRODUCT('3'!COMP_CALENDARIZE_PERCENTAGES,J63:L63)*K$81*'3'!COMP_FX,"N/A")</f>
        <v>N/A</v>
      </c>
      <c r="L67" s="111"/>
      <c r="M67" s="43"/>
      <c r="N67" s="43"/>
      <c r="O67" s="43"/>
      <c r="P67" s="43"/>
      <c r="Q67" s="43"/>
      <c r="R67" s="43"/>
      <c r="S67" s="43"/>
      <c r="T67" s="43"/>
      <c r="U67" s="43"/>
      <c r="V67" s="43"/>
      <c r="W67" s="43"/>
      <c r="X67" s="43"/>
      <c r="Y67" s="43"/>
      <c r="Z67" s="43"/>
    </row>
    <row r="68" spans="1:26" ht="15" customHeight="1" x14ac:dyDescent="0.25">
      <c r="A68" s="40"/>
      <c r="B68" s="43" t="str">
        <f>"Calendarized EBITR in "&amp;MAIN_CURRENCY&amp;" MM"</f>
        <v>Calendarized EBITR in USD MM</v>
      </c>
      <c r="C68" s="43"/>
      <c r="D68" s="43"/>
      <c r="E68" s="43"/>
      <c r="F68" s="43"/>
      <c r="G68" s="43">
        <f>G64*COMP_FX</f>
        <v>2455.6040679999996</v>
      </c>
      <c r="H68" s="43"/>
      <c r="I68" s="43">
        <f>IF(I$80&gt;0,SUMPRODUCT('3'!COMP_CALENDARIZE_PERCENTAGES,H64:J64)*I$81*'3'!COMP_FX,"N/A")</f>
        <v>2840.9230677274668</v>
      </c>
      <c r="J68" s="43">
        <f>IF(J$80&gt;0,SUMPRODUCT('3'!COMP_CALENDARIZE_PERCENTAGES,I64:K64)*J$81*'3'!COMP_FX,"N/A")</f>
        <v>3139.6936033326265</v>
      </c>
      <c r="K68" s="43" t="str">
        <f>IF(K$80&gt;0,SUMPRODUCT('3'!COMP_CALENDARIZE_PERCENTAGES,J64:L64)*K$81*'3'!COMP_FX,"N/A")</f>
        <v>N/A</v>
      </c>
      <c r="L68" s="111"/>
      <c r="M68" s="43"/>
      <c r="N68" s="43"/>
      <c r="O68" s="43"/>
      <c r="P68" s="43"/>
      <c r="Q68" s="43"/>
      <c r="R68" s="43"/>
      <c r="S68" s="43"/>
      <c r="T68" s="43"/>
      <c r="U68" s="43"/>
      <c r="V68" s="43"/>
      <c r="W68" s="43"/>
      <c r="X68" s="43"/>
      <c r="Y68" s="43"/>
      <c r="Z68" s="43"/>
    </row>
    <row r="69" spans="1:26" ht="15" customHeight="1" x14ac:dyDescent="0.25">
      <c r="A69" s="40"/>
      <c r="B69" s="43" t="str">
        <f>"Operating lease liabilities in "&amp;MAIN_CURRENCY&amp;" MM"</f>
        <v>Operating lease liabilities in USD MM</v>
      </c>
      <c r="C69" s="43"/>
      <c r="D69" s="43"/>
      <c r="E69" s="43"/>
      <c r="F69" s="43"/>
      <c r="G69" s="43">
        <f>G65*COMP_FX</f>
        <v>56.387</v>
      </c>
      <c r="H69" s="43"/>
      <c r="I69" s="43"/>
      <c r="J69" s="43"/>
      <c r="K69" s="43"/>
      <c r="L69" s="111"/>
      <c r="M69" s="43"/>
      <c r="N69" s="43"/>
      <c r="O69" s="43"/>
      <c r="P69" s="43"/>
      <c r="Q69" s="43"/>
      <c r="R69" s="43"/>
      <c r="S69" s="43"/>
      <c r="T69" s="43"/>
      <c r="U69" s="43"/>
      <c r="V69" s="43"/>
      <c r="W69" s="43"/>
      <c r="X69" s="43"/>
      <c r="Y69" s="43"/>
      <c r="Z69" s="43"/>
    </row>
    <row r="70" spans="1:26" ht="15" customHeight="1" x14ac:dyDescent="0.25">
      <c r="A70" s="40"/>
      <c r="B70" s="43"/>
      <c r="C70" s="43"/>
      <c r="D70" s="43"/>
      <c r="E70" s="43"/>
      <c r="F70" s="43"/>
      <c r="G70" s="43"/>
      <c r="H70" s="43"/>
      <c r="I70" s="43"/>
      <c r="J70" s="43"/>
      <c r="K70" s="43"/>
      <c r="L70" s="111"/>
      <c r="M70" s="43"/>
      <c r="N70" s="43"/>
      <c r="O70" s="43"/>
      <c r="P70" s="43"/>
      <c r="Q70" s="43"/>
      <c r="R70" s="43"/>
      <c r="S70" s="43"/>
      <c r="T70" s="43"/>
      <c r="U70" s="43"/>
      <c r="V70" s="43"/>
      <c r="W70" s="43"/>
      <c r="X70" s="43"/>
      <c r="Y70" s="43"/>
      <c r="Z70" s="43"/>
    </row>
    <row r="71" spans="1:26" ht="15" customHeight="1" x14ac:dyDescent="0.25">
      <c r="A71" s="40"/>
      <c r="B71" s="43" t="str">
        <f>"EVR in "&amp;MAIN_CURRENCY&amp;" MM"</f>
        <v>EVR in USD MM</v>
      </c>
      <c r="C71" s="43"/>
      <c r="D71" s="43"/>
      <c r="E71" s="43"/>
      <c r="F71" s="43"/>
      <c r="G71" s="43">
        <f>COMP_EV+(G69*COMP_FX)</f>
        <v>80142.537632160005</v>
      </c>
      <c r="H71" s="43"/>
      <c r="I71" s="43"/>
      <c r="J71" s="43"/>
      <c r="K71" s="43"/>
      <c r="L71" s="111"/>
      <c r="M71" s="43"/>
      <c r="N71" s="43"/>
      <c r="O71" s="43"/>
      <c r="P71" s="43"/>
      <c r="Q71" s="43"/>
      <c r="R71" s="43"/>
      <c r="S71" s="43"/>
      <c r="T71" s="43"/>
      <c r="U71" s="43"/>
      <c r="V71" s="43"/>
      <c r="W71" s="43"/>
      <c r="X71" s="43"/>
      <c r="Y71" s="43"/>
      <c r="Z71" s="43"/>
    </row>
    <row r="72" spans="1:26" ht="15" customHeight="1" x14ac:dyDescent="0.25">
      <c r="A72" s="40"/>
      <c r="B72" s="43" t="s">
        <v>230</v>
      </c>
      <c r="C72" s="43"/>
      <c r="D72" s="43"/>
      <c r="E72" s="43"/>
      <c r="F72" s="43"/>
      <c r="G72" s="114">
        <f>IF(ISNUMBER(G67),EVR/G67,"N/A")</f>
        <v>31.198737776628946</v>
      </c>
      <c r="H72" s="114"/>
      <c r="I72" s="114">
        <f t="shared" ref="I72:K73" si="3">IF(ISNUMBER(I67),EVR/I67,"N/A")</f>
        <v>27.318946083782109</v>
      </c>
      <c r="J72" s="114">
        <f t="shared" si="3"/>
        <v>24.785062677997544</v>
      </c>
      <c r="K72" s="114" t="str">
        <f t="shared" si="3"/>
        <v>N/A</v>
      </c>
      <c r="L72" s="37" t="s">
        <v>221</v>
      </c>
      <c r="M72" s="43"/>
      <c r="N72" s="43"/>
      <c r="O72" s="43"/>
      <c r="P72" s="43"/>
      <c r="Q72" s="43"/>
      <c r="R72" s="43"/>
      <c r="S72" s="43"/>
      <c r="T72" s="43"/>
      <c r="U72" s="43"/>
      <c r="V72" s="43"/>
      <c r="W72" s="43"/>
      <c r="X72" s="43"/>
      <c r="Y72" s="43"/>
      <c r="Z72" s="43"/>
    </row>
    <row r="73" spans="1:26" ht="15" customHeight="1" x14ac:dyDescent="0.25">
      <c r="A73" s="40"/>
      <c r="B73" s="43" t="s">
        <v>231</v>
      </c>
      <c r="C73" s="43"/>
      <c r="D73" s="43"/>
      <c r="E73" s="43"/>
      <c r="F73" s="43"/>
      <c r="G73" s="114">
        <f>IF(ISNUMBER(G68),EVR/G68,"N/A")</f>
        <v>32.636587744958895</v>
      </c>
      <c r="H73" s="114"/>
      <c r="I73" s="114">
        <f t="shared" si="3"/>
        <v>28.21003445766247</v>
      </c>
      <c r="J73" s="114">
        <f t="shared" si="3"/>
        <v>25.525591907150666</v>
      </c>
      <c r="K73" s="114" t="str">
        <f t="shared" si="3"/>
        <v>N/A</v>
      </c>
      <c r="L73" s="37" t="s">
        <v>221</v>
      </c>
      <c r="M73" s="43"/>
      <c r="N73" s="43"/>
      <c r="O73" s="43"/>
      <c r="P73" s="43"/>
      <c r="Q73" s="43"/>
      <c r="R73" s="43"/>
      <c r="S73" s="43"/>
      <c r="T73" s="43"/>
      <c r="U73" s="43"/>
      <c r="V73" s="43"/>
      <c r="W73" s="43"/>
      <c r="X73" s="43"/>
      <c r="Y73" s="43"/>
      <c r="Z73" s="43"/>
    </row>
    <row r="74" spans="1:26" ht="15" customHeight="1" x14ac:dyDescent="0.25">
      <c r="A74" s="67"/>
      <c r="B74" s="115"/>
      <c r="C74" s="115"/>
      <c r="D74" s="115"/>
      <c r="E74" s="115"/>
      <c r="F74" s="115"/>
      <c r="G74" s="115"/>
      <c r="H74" s="115"/>
      <c r="I74" s="115"/>
      <c r="J74" s="115"/>
      <c r="K74" s="115"/>
      <c r="L74" s="116"/>
      <c r="M74" s="43"/>
      <c r="N74" s="43"/>
      <c r="O74" s="43"/>
      <c r="P74" s="43"/>
      <c r="Q74" s="43"/>
      <c r="R74" s="43"/>
      <c r="S74" s="43"/>
      <c r="T74" s="43"/>
      <c r="U74" s="43"/>
      <c r="V74" s="43"/>
      <c r="W74" s="43"/>
      <c r="X74" s="43"/>
      <c r="Y74" s="43"/>
      <c r="Z74" s="43"/>
    </row>
    <row r="75" spans="1:26" ht="15" customHeight="1" x14ac:dyDescent="0.25">
      <c r="A75" s="43"/>
      <c r="B75" s="43"/>
      <c r="C75" s="43"/>
      <c r="D75" s="43"/>
      <c r="E75" s="43"/>
      <c r="F75" s="43"/>
      <c r="G75" s="43"/>
      <c r="H75" s="43"/>
      <c r="I75" s="43"/>
      <c r="J75" s="43"/>
      <c r="K75" s="43"/>
      <c r="L75" s="43"/>
      <c r="M75" s="43"/>
      <c r="N75" s="43"/>
      <c r="O75" s="43"/>
      <c r="P75" s="43"/>
      <c r="Q75" s="43"/>
      <c r="R75" s="43"/>
      <c r="S75" s="43"/>
      <c r="T75" s="43"/>
      <c r="U75" s="43"/>
      <c r="V75" s="43"/>
      <c r="W75" s="43"/>
      <c r="X75" s="43"/>
      <c r="Y75" s="43"/>
      <c r="Z75" s="43"/>
    </row>
    <row r="76" spans="1:26" ht="15" customHeight="1" x14ac:dyDescent="0.25">
      <c r="A76" s="9"/>
      <c r="E76" s="15" t="s">
        <v>232</v>
      </c>
      <c r="F76" s="16"/>
      <c r="G76" s="16"/>
      <c r="H76" s="16"/>
      <c r="I76" s="16"/>
      <c r="J76" s="16"/>
      <c r="K76" s="16"/>
      <c r="L76" s="17"/>
      <c r="M76" s="43"/>
      <c r="N76" s="43"/>
      <c r="O76" s="43"/>
      <c r="P76" s="43"/>
      <c r="Q76" s="43"/>
      <c r="R76" s="43"/>
      <c r="S76" s="43"/>
      <c r="T76" s="43"/>
      <c r="U76" s="43"/>
      <c r="V76" s="43"/>
      <c r="W76" s="43"/>
      <c r="X76" s="43"/>
      <c r="Y76" s="43"/>
      <c r="Z76" s="43"/>
    </row>
    <row r="77" spans="1:26" ht="15" customHeight="1" x14ac:dyDescent="0.25">
      <c r="A77" s="9"/>
      <c r="E77" s="90"/>
      <c r="F77" s="43"/>
      <c r="G77" s="43"/>
      <c r="H77" s="43"/>
      <c r="I77" s="43"/>
      <c r="J77" s="43"/>
      <c r="K77" s="43"/>
      <c r="L77" s="91"/>
      <c r="M77" s="43"/>
      <c r="N77" s="43"/>
      <c r="O77" s="43"/>
      <c r="P77" s="43"/>
      <c r="Q77" s="43"/>
      <c r="R77" s="43"/>
      <c r="S77" s="43"/>
      <c r="T77" s="43"/>
      <c r="U77" s="43"/>
      <c r="V77" s="43"/>
      <c r="W77" s="43"/>
      <c r="X77" s="43"/>
      <c r="Y77" s="43"/>
      <c r="Z77" s="43"/>
    </row>
    <row r="78" spans="1:26" ht="15" customHeight="1" x14ac:dyDescent="0.25">
      <c r="A78" s="9"/>
      <c r="E78" s="90" t="s">
        <v>233</v>
      </c>
      <c r="F78" s="43"/>
      <c r="G78" s="109">
        <f>C11</f>
        <v>45657</v>
      </c>
      <c r="H78" s="43"/>
      <c r="I78" s="62" t="s">
        <v>234</v>
      </c>
      <c r="J78" s="62" t="s">
        <v>235</v>
      </c>
      <c r="K78" s="62" t="s">
        <v>236</v>
      </c>
      <c r="L78" s="91"/>
      <c r="M78" s="43"/>
      <c r="N78" s="43"/>
      <c r="O78" s="43"/>
      <c r="P78" s="43"/>
      <c r="Q78" s="43"/>
      <c r="R78" s="43"/>
      <c r="S78" s="43"/>
      <c r="T78" s="43"/>
      <c r="U78" s="43"/>
      <c r="V78" s="43"/>
      <c r="W78" s="43"/>
      <c r="X78" s="43"/>
      <c r="Y78" s="43"/>
      <c r="Z78" s="43"/>
    </row>
    <row r="79" spans="1:26" ht="15" customHeight="1" x14ac:dyDescent="0.25">
      <c r="A79" s="9"/>
      <c r="E79" s="90" t="s">
        <v>145</v>
      </c>
      <c r="F79" s="43"/>
      <c r="G79" s="109">
        <f>C8</f>
        <v>46022</v>
      </c>
      <c r="H79" s="43"/>
      <c r="I79" s="117">
        <f>-MIN((G79-G78)/365,0)</f>
        <v>0</v>
      </c>
      <c r="J79" s="117">
        <f>1-I79-K79</f>
        <v>0</v>
      </c>
      <c r="K79" s="117">
        <f>MAX((G79-G78)/365,0)</f>
        <v>1</v>
      </c>
      <c r="L79" s="91"/>
      <c r="M79" s="43"/>
      <c r="N79" s="43"/>
      <c r="O79" s="43"/>
      <c r="P79" s="43"/>
      <c r="Q79" s="43"/>
      <c r="R79" s="43"/>
      <c r="S79" s="43"/>
      <c r="T79" s="43"/>
      <c r="U79" s="43"/>
      <c r="V79" s="43"/>
      <c r="W79" s="43"/>
      <c r="X79" s="43"/>
      <c r="Y79" s="43"/>
      <c r="Z79" s="43"/>
    </row>
    <row r="80" spans="1:26" ht="15" customHeight="1" x14ac:dyDescent="0.25">
      <c r="A80" s="9"/>
      <c r="E80" s="90" t="s">
        <v>237</v>
      </c>
      <c r="F80" s="43"/>
      <c r="G80" s="43"/>
      <c r="H80" s="43"/>
      <c r="I80" s="43">
        <f>IF(SUMPRODUCT('3'!COMP_CALENDARIZE_PERCENTAGES,H81:J81)=1,1,0)</f>
        <v>1</v>
      </c>
      <c r="J80" s="43">
        <f>IF(SUMPRODUCT('3'!COMP_CALENDARIZE_PERCENTAGES,I81:K81)=1,1,0)</f>
        <v>1</v>
      </c>
      <c r="K80" s="43">
        <f>IF(SUMPRODUCT('3'!COMP_CALENDARIZE_PERCENTAGES,J81:L81)=1,1,0)</f>
        <v>0</v>
      </c>
      <c r="L80" s="91">
        <f>IF(SUMPRODUCT('3'!COMP_CALENDARIZE_PERCENTAGES,K81:M81)=1,1,0)</f>
        <v>0</v>
      </c>
      <c r="M80" s="43"/>
      <c r="N80" s="43"/>
      <c r="O80" s="43"/>
      <c r="P80" s="43"/>
      <c r="Q80" s="43"/>
      <c r="R80" s="43"/>
      <c r="S80" s="43"/>
      <c r="T80" s="43"/>
      <c r="U80" s="43"/>
      <c r="V80" s="43"/>
      <c r="W80" s="43"/>
      <c r="X80" s="43"/>
      <c r="Y80" s="43"/>
      <c r="Z80" s="43"/>
    </row>
    <row r="81" spans="1:26" ht="15" customHeight="1" x14ac:dyDescent="0.25">
      <c r="A81" s="9"/>
      <c r="E81" s="99" t="s">
        <v>238</v>
      </c>
      <c r="F81" s="85"/>
      <c r="G81" s="85"/>
      <c r="H81" s="85">
        <f>IF(OR(H44=0,H44="N/A"),0,1)</f>
        <v>1</v>
      </c>
      <c r="I81" s="85">
        <f>IF(OR(I44=0,I44="N/A"),0,1)</f>
        <v>1</v>
      </c>
      <c r="J81" s="85">
        <f>IF(OR(J44=0,J44="N/A"),0,1)</f>
        <v>1</v>
      </c>
      <c r="K81" s="85">
        <f>IF(OR(K44=0,K44="N/A"),0,1)</f>
        <v>1</v>
      </c>
      <c r="L81" s="96">
        <f>IF(OR(L44=0,L44="N/A"),0,1)</f>
        <v>0</v>
      </c>
      <c r="M81" s="43"/>
      <c r="N81" s="43"/>
      <c r="O81" s="43"/>
      <c r="P81" s="43"/>
      <c r="Q81" s="43"/>
      <c r="R81" s="43"/>
      <c r="S81" s="43"/>
      <c r="T81" s="43"/>
      <c r="U81" s="43"/>
      <c r="V81" s="43"/>
      <c r="W81" s="43"/>
      <c r="X81" s="43"/>
      <c r="Y81" s="43"/>
      <c r="Z81" s="43"/>
    </row>
    <row r="82" spans="1:26" ht="15" customHeight="1" x14ac:dyDescent="0.25">
      <c r="A82" s="9"/>
      <c r="E82" s="43"/>
      <c r="F82" s="43"/>
      <c r="G82" s="43"/>
      <c r="H82" s="43"/>
      <c r="I82" s="43"/>
      <c r="J82" s="43"/>
      <c r="K82" s="43"/>
      <c r="L82" s="43"/>
      <c r="M82" s="43"/>
      <c r="N82" s="43"/>
      <c r="O82" s="43"/>
      <c r="P82" s="43"/>
      <c r="Q82" s="43"/>
      <c r="R82" s="43"/>
      <c r="S82" s="43"/>
      <c r="T82" s="43"/>
      <c r="U82" s="43"/>
      <c r="V82" s="43"/>
      <c r="W82" s="43"/>
      <c r="X82" s="43"/>
    </row>
    <row r="83" spans="1:26" ht="15" customHeight="1" x14ac:dyDescent="0.25">
      <c r="A83" s="9" t="s">
        <v>38</v>
      </c>
    </row>
  </sheetData>
  <mergeCells count="1">
    <mergeCell ref="R31:V36"/>
  </mergeCells>
  <printOptions gridLines="1"/>
  <pageMargins left="0.31496062992125984" right="0.11811023622047245" top="0.74803149606299213" bottom="0.74803149606299213" header="0" footer="0"/>
  <pageSetup paperSize="9" scale="45" fitToHeight="0" orientation="landscape" r:id="rId1"/>
  <headerFooter>
    <oddHeader>&amp;R&amp;F  &amp;A</oddHeader>
    <oddFooter>&amp;L© 2016&amp;CPage &amp;P of</oddFooter>
  </headerFooter>
  <rowBreaks count="1" manualBreakCount="1">
    <brk id="57" max="21" man="1"/>
  </rowBreaks>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theme="4"/>
    <pageSetUpPr fitToPage="1"/>
  </sheetPr>
  <dimension ref="A1:R54"/>
  <sheetViews>
    <sheetView zoomScaleNormal="100" zoomScaleSheetLayoutView="85" workbookViewId="0">
      <pane xSplit="3" ySplit="4" topLeftCell="D5" activePane="bottomRight" state="frozen"/>
      <selection pane="topRight"/>
      <selection pane="bottomLeft"/>
      <selection pane="bottomRight" activeCell="D5" sqref="D5"/>
    </sheetView>
  </sheetViews>
  <sheetFormatPr defaultColWidth="12.5703125" defaultRowHeight="15" x14ac:dyDescent="0.25"/>
  <cols>
    <col min="1" max="1" width="1.5703125" customWidth="1"/>
    <col min="2" max="3" width="26.7109375" customWidth="1"/>
    <col min="4" max="4" width="11.7109375" customWidth="1"/>
    <col min="5" max="9" width="10.28515625" customWidth="1"/>
    <col min="10" max="10" width="13" bestFit="1" customWidth="1"/>
    <col min="11" max="16" width="10.28515625" customWidth="1"/>
    <col min="17" max="17" width="123.42578125" customWidth="1"/>
    <col min="18" max="18" width="27.140625" customWidth="1"/>
  </cols>
  <sheetData>
    <row r="1" spans="1:18" ht="30" customHeight="1" x14ac:dyDescent="0.45">
      <c r="A1" s="180" t="s">
        <v>362</v>
      </c>
      <c r="B1" s="72"/>
      <c r="C1" s="72"/>
      <c r="D1" s="72"/>
      <c r="E1" s="72"/>
      <c r="F1" s="72"/>
      <c r="G1" s="72"/>
      <c r="H1" s="72"/>
      <c r="I1" s="72"/>
      <c r="J1" s="72"/>
      <c r="K1" s="72"/>
      <c r="L1" s="72"/>
      <c r="M1" s="72"/>
      <c r="N1" s="72"/>
      <c r="O1" s="72"/>
      <c r="P1" s="72"/>
      <c r="Q1" s="72"/>
      <c r="R1" s="72"/>
    </row>
    <row r="2" spans="1:18" x14ac:dyDescent="0.25">
      <c r="A2" s="43" t="s">
        <v>363</v>
      </c>
    </row>
    <row r="3" spans="1:18" ht="15.75" x14ac:dyDescent="0.25">
      <c r="A3" s="10"/>
      <c r="B3" s="77"/>
      <c r="C3" s="77" t="s">
        <v>364</v>
      </c>
      <c r="D3" s="77" t="s">
        <v>365</v>
      </c>
      <c r="E3" s="77" t="s">
        <v>366</v>
      </c>
      <c r="F3" s="77" t="s">
        <v>366</v>
      </c>
      <c r="G3" s="77" t="s">
        <v>367</v>
      </c>
      <c r="H3" s="77" t="s">
        <v>132</v>
      </c>
      <c r="I3" s="77" t="s">
        <v>132</v>
      </c>
      <c r="J3" s="77" t="s">
        <v>250</v>
      </c>
      <c r="K3" s="77"/>
      <c r="L3" s="77"/>
      <c r="M3" s="77"/>
      <c r="N3" s="77" t="s">
        <v>368</v>
      </c>
      <c r="O3" s="77" t="s">
        <v>369</v>
      </c>
      <c r="P3" s="77" t="s">
        <v>370</v>
      </c>
      <c r="Q3" s="77"/>
    </row>
    <row r="4" spans="1:18" ht="15.75" x14ac:dyDescent="0.25">
      <c r="A4" s="10"/>
      <c r="B4" s="77" t="s">
        <v>369</v>
      </c>
      <c r="C4" s="77" t="s">
        <v>364</v>
      </c>
      <c r="D4" s="77" t="s">
        <v>3</v>
      </c>
      <c r="E4" s="77" t="s">
        <v>371</v>
      </c>
      <c r="F4" s="77" t="s">
        <v>372</v>
      </c>
      <c r="G4" s="77" t="s">
        <v>373</v>
      </c>
      <c r="H4" s="77" t="s">
        <v>75</v>
      </c>
      <c r="I4" s="77" t="s">
        <v>18</v>
      </c>
      <c r="J4" s="77" t="s">
        <v>264</v>
      </c>
      <c r="K4" s="77" t="s">
        <v>374</v>
      </c>
      <c r="L4" s="77" t="s">
        <v>375</v>
      </c>
      <c r="M4" s="77" t="s">
        <v>376</v>
      </c>
      <c r="N4" s="77" t="s">
        <v>377</v>
      </c>
      <c r="O4" s="77" t="s">
        <v>140</v>
      </c>
      <c r="P4" s="77" t="s">
        <v>378</v>
      </c>
      <c r="Q4" s="77" t="s">
        <v>379</v>
      </c>
    </row>
    <row r="5" spans="1:18" ht="15.75" x14ac:dyDescent="0.25">
      <c r="A5" s="73"/>
    </row>
    <row r="6" spans="1:18" ht="15.75" x14ac:dyDescent="0.25">
      <c r="A6" s="73" t="s">
        <v>380</v>
      </c>
    </row>
    <row r="7" spans="1:18" ht="120" x14ac:dyDescent="0.25">
      <c r="A7" s="73"/>
      <c r="B7" t="s">
        <v>381</v>
      </c>
      <c r="C7" t="s">
        <v>382</v>
      </c>
      <c r="D7" s="47">
        <v>42263</v>
      </c>
      <c r="E7" t="s">
        <v>383</v>
      </c>
      <c r="F7" s="3">
        <v>123394.25601700001</v>
      </c>
      <c r="G7" s="3">
        <v>123394.25601700001</v>
      </c>
      <c r="H7" s="3">
        <v>22129.998992000001</v>
      </c>
      <c r="I7">
        <f t="shared" ref="I7:I12" si="0">G7/L7</f>
        <v>5306.9999843019032</v>
      </c>
      <c r="J7" s="63">
        <f>I7/H7</f>
        <v>0.2398102225951472</v>
      </c>
      <c r="K7" s="64">
        <f t="shared" ref="K7:K22" si="1">G7/H7</f>
        <v>5.5758816826700741</v>
      </c>
      <c r="L7" s="46">
        <v>23.251225999999999</v>
      </c>
      <c r="M7" s="3">
        <v>1400</v>
      </c>
      <c r="N7" s="63">
        <f>M7/H7</f>
        <v>6.326254242063456E-2</v>
      </c>
      <c r="O7" t="s">
        <v>384</v>
      </c>
      <c r="P7" s="84"/>
      <c r="Q7" s="81" t="s">
        <v>385</v>
      </c>
    </row>
    <row r="8" spans="1:18" ht="75" x14ac:dyDescent="0.25">
      <c r="A8" s="73"/>
      <c r="B8" t="s">
        <v>386</v>
      </c>
      <c r="C8" t="s">
        <v>387</v>
      </c>
      <c r="D8" s="47">
        <v>42717</v>
      </c>
      <c r="E8" t="s">
        <v>383</v>
      </c>
      <c r="F8" s="3">
        <v>7744.2049310000002</v>
      </c>
      <c r="G8" s="3">
        <v>7744.2049310000002</v>
      </c>
      <c r="H8" s="41" t="s">
        <v>388</v>
      </c>
      <c r="I8">
        <f t="shared" si="0"/>
        <v>523.84772824602987</v>
      </c>
      <c r="J8" s="79" t="s">
        <v>19</v>
      </c>
      <c r="K8" s="79" t="s">
        <v>19</v>
      </c>
      <c r="L8" s="46">
        <v>14.783313</v>
      </c>
      <c r="M8" s="43"/>
      <c r="N8" s="63"/>
      <c r="O8" t="s">
        <v>389</v>
      </c>
      <c r="P8" s="84"/>
      <c r="Q8" s="81" t="s">
        <v>390</v>
      </c>
      <c r="R8" s="43"/>
    </row>
    <row r="9" spans="1:18" ht="105" x14ac:dyDescent="0.25">
      <c r="A9" s="73"/>
      <c r="B9" t="s">
        <v>391</v>
      </c>
      <c r="C9" t="s">
        <v>392</v>
      </c>
      <c r="D9" s="47">
        <v>42837</v>
      </c>
      <c r="E9" t="s">
        <v>383</v>
      </c>
      <c r="F9" s="3">
        <v>2409.749593</v>
      </c>
      <c r="G9" s="3">
        <v>2409.749593</v>
      </c>
      <c r="H9" s="3">
        <v>2395.8741759999998</v>
      </c>
      <c r="I9">
        <f t="shared" si="0"/>
        <v>244.31699591887389</v>
      </c>
      <c r="J9" s="63">
        <f>I9/H9</f>
        <v>0.10197405121114086</v>
      </c>
      <c r="K9" s="64">
        <f>G9/H9</f>
        <v>1.0057913796721853</v>
      </c>
      <c r="L9" s="46">
        <v>9.8632089999999994</v>
      </c>
      <c r="M9" s="43"/>
      <c r="N9" s="63"/>
      <c r="O9" t="s">
        <v>393</v>
      </c>
      <c r="P9" s="84"/>
      <c r="Q9" s="81" t="s">
        <v>394</v>
      </c>
    </row>
    <row r="10" spans="1:18" ht="75" x14ac:dyDescent="0.25">
      <c r="A10" s="73"/>
      <c r="B10" t="s">
        <v>395</v>
      </c>
      <c r="C10" t="s">
        <v>396</v>
      </c>
      <c r="D10" s="47">
        <v>43086</v>
      </c>
      <c r="E10" t="s">
        <v>383</v>
      </c>
      <c r="F10" s="3">
        <v>4840.164264</v>
      </c>
      <c r="G10" s="3">
        <v>8638.2876400000005</v>
      </c>
      <c r="H10" s="3">
        <v>1433.7142710000001</v>
      </c>
      <c r="I10">
        <f t="shared" si="0"/>
        <v>242.27152477725815</v>
      </c>
      <c r="J10" s="63">
        <f>I10/H10</f>
        <v>0.16898173483917156</v>
      </c>
      <c r="K10" s="64">
        <f>G10/H10</f>
        <v>6.0251110104211278</v>
      </c>
      <c r="L10" s="46">
        <v>35.655397999999998</v>
      </c>
      <c r="M10" s="43"/>
      <c r="N10" s="63"/>
      <c r="O10" t="s">
        <v>397</v>
      </c>
      <c r="P10" s="84"/>
      <c r="Q10" s="81" t="s">
        <v>398</v>
      </c>
    </row>
    <row r="11" spans="1:18" s="61" customFormat="1" ht="105" x14ac:dyDescent="0.25">
      <c r="A11" s="73"/>
      <c r="B11" s="61" t="s">
        <v>399</v>
      </c>
      <c r="C11" s="61" t="s">
        <v>400</v>
      </c>
      <c r="D11" s="160">
        <v>43129</v>
      </c>
      <c r="E11" s="61" t="s">
        <v>383</v>
      </c>
      <c r="F11" s="161">
        <v>27024.925839</v>
      </c>
      <c r="G11" s="161">
        <v>27024.925839</v>
      </c>
      <c r="H11" s="161">
        <v>6704</v>
      </c>
      <c r="I11" s="61">
        <f t="shared" si="0"/>
        <v>1580.4050198245614</v>
      </c>
      <c r="J11" s="162">
        <f>I11/H11</f>
        <v>0.23574060558242263</v>
      </c>
      <c r="K11" s="163">
        <f t="shared" si="1"/>
        <v>4.0311643554594268</v>
      </c>
      <c r="L11" s="164">
        <v>17.100000000000001</v>
      </c>
      <c r="M11" s="161">
        <v>600</v>
      </c>
      <c r="N11" s="162">
        <f>M11/H11</f>
        <v>8.9498806682577564E-2</v>
      </c>
      <c r="O11" s="61" t="s">
        <v>77</v>
      </c>
      <c r="P11" s="165"/>
      <c r="Q11" s="166" t="s">
        <v>401</v>
      </c>
      <c r="R11" s="167"/>
    </row>
    <row r="12" spans="1:18" ht="90" x14ac:dyDescent="0.25">
      <c r="A12" s="73"/>
      <c r="B12" t="s">
        <v>402</v>
      </c>
      <c r="C12" t="s">
        <v>403</v>
      </c>
      <c r="D12" s="47">
        <v>43276</v>
      </c>
      <c r="E12" t="s">
        <v>383</v>
      </c>
      <c r="F12" s="3">
        <v>946.225638</v>
      </c>
      <c r="G12" s="3">
        <v>4551.0063369999998</v>
      </c>
      <c r="H12" s="3">
        <v>306.95898599999998</v>
      </c>
      <c r="I12">
        <f t="shared" si="0"/>
        <v>83.888540450551787</v>
      </c>
      <c r="J12" s="63">
        <f>I12/H12</f>
        <v>0.27328908511103756</v>
      </c>
      <c r="K12" s="64">
        <f>G12/H12</f>
        <v>14.826105585975581</v>
      </c>
      <c r="L12" s="46">
        <v>54.250632000000003</v>
      </c>
      <c r="M12" s="43"/>
      <c r="N12" s="63"/>
      <c r="O12" t="s">
        <v>404</v>
      </c>
      <c r="P12" s="84"/>
      <c r="Q12" s="81" t="s">
        <v>405</v>
      </c>
    </row>
    <row r="13" spans="1:18" s="61" customFormat="1" ht="75" x14ac:dyDescent="0.25">
      <c r="A13" s="167"/>
      <c r="B13" s="61" t="s">
        <v>406</v>
      </c>
      <c r="C13" s="61" t="s">
        <v>13</v>
      </c>
      <c r="D13" s="160">
        <v>43332</v>
      </c>
      <c r="E13" s="61" t="s">
        <v>383</v>
      </c>
      <c r="F13" s="161">
        <v>3307.95</v>
      </c>
      <c r="G13" s="161">
        <v>3136.2489999999998</v>
      </c>
      <c r="H13" s="161">
        <v>612.572</v>
      </c>
      <c r="I13" s="168">
        <v>126.741</v>
      </c>
      <c r="J13" s="162">
        <f>I13/H13</f>
        <v>0.20689976035470117</v>
      </c>
      <c r="K13" s="163">
        <f t="shared" si="1"/>
        <v>5.1198046923463689</v>
      </c>
      <c r="L13" s="163">
        <f>G13/I13</f>
        <v>24.745338919528802</v>
      </c>
      <c r="M13" s="161"/>
      <c r="N13" s="162"/>
      <c r="O13" s="61" t="s">
        <v>407</v>
      </c>
      <c r="P13" s="165"/>
      <c r="Q13" s="166" t="s">
        <v>408</v>
      </c>
      <c r="R13" s="167"/>
    </row>
    <row r="14" spans="1:18" ht="60" x14ac:dyDescent="0.25">
      <c r="A14" s="73"/>
      <c r="B14" t="s">
        <v>409</v>
      </c>
      <c r="C14" t="s">
        <v>410</v>
      </c>
      <c r="D14" s="47">
        <v>43490</v>
      </c>
      <c r="E14" t="s">
        <v>383</v>
      </c>
      <c r="F14" s="3">
        <v>326.10000100000002</v>
      </c>
      <c r="G14" s="3">
        <v>326.10000100000002</v>
      </c>
      <c r="H14" s="41" t="s">
        <v>388</v>
      </c>
      <c r="I14">
        <f>G14/L14</f>
        <v>13.826640429545934</v>
      </c>
      <c r="J14" s="79" t="s">
        <v>19</v>
      </c>
      <c r="K14" s="79" t="s">
        <v>19</v>
      </c>
      <c r="L14" s="46">
        <v>23.584904999999999</v>
      </c>
      <c r="M14" s="43"/>
      <c r="N14" s="63"/>
      <c r="O14" t="s">
        <v>384</v>
      </c>
      <c r="P14" s="84"/>
      <c r="Q14" s="81" t="s">
        <v>411</v>
      </c>
      <c r="R14" s="43"/>
    </row>
    <row r="15" spans="1:18" ht="60" x14ac:dyDescent="0.25">
      <c r="A15" s="73"/>
      <c r="B15" t="s">
        <v>412</v>
      </c>
      <c r="C15" t="s">
        <v>387</v>
      </c>
      <c r="D15" s="47">
        <v>43665</v>
      </c>
      <c r="E15" t="s">
        <v>383</v>
      </c>
      <c r="F15" s="3">
        <v>11264.800009000001</v>
      </c>
      <c r="G15" s="3">
        <v>11264.800009000001</v>
      </c>
      <c r="H15" s="124" t="s">
        <v>388</v>
      </c>
      <c r="I15">
        <f>G15/L15</f>
        <v>756.85379790804984</v>
      </c>
      <c r="J15" s="79" t="s">
        <v>19</v>
      </c>
      <c r="K15" s="79" t="s">
        <v>19</v>
      </c>
      <c r="L15" s="46">
        <v>14.88372</v>
      </c>
      <c r="M15" s="43"/>
      <c r="N15" s="63">
        <v>0.06</v>
      </c>
      <c r="O15" t="s">
        <v>413</v>
      </c>
      <c r="P15" s="84"/>
      <c r="Q15" s="81" t="s">
        <v>414</v>
      </c>
      <c r="R15" s="125"/>
    </row>
    <row r="16" spans="1:18" s="61" customFormat="1" ht="60" x14ac:dyDescent="0.25">
      <c r="A16" s="73"/>
      <c r="B16" s="61" t="s">
        <v>415</v>
      </c>
      <c r="C16" s="61" t="s">
        <v>416</v>
      </c>
      <c r="D16" s="160">
        <v>43843</v>
      </c>
      <c r="E16" s="61" t="s">
        <v>383</v>
      </c>
      <c r="F16" s="161">
        <v>765.56259599999998</v>
      </c>
      <c r="G16" s="161">
        <v>765.56259599999998</v>
      </c>
      <c r="H16" s="161">
        <v>307.15600000000001</v>
      </c>
      <c r="I16" s="61">
        <f>G16/L16</f>
        <v>45.536001518892562</v>
      </c>
      <c r="J16" s="162">
        <f>I16/H16</f>
        <v>0.14825040539300083</v>
      </c>
      <c r="K16" s="163">
        <f t="shared" si="1"/>
        <v>2.492422729818073</v>
      </c>
      <c r="L16" s="164">
        <v>16.812249000000001</v>
      </c>
      <c r="M16" s="167">
        <v>35</v>
      </c>
      <c r="N16" s="162">
        <f>M16/H16</f>
        <v>0.11394861243146805</v>
      </c>
      <c r="O16" s="61" t="s">
        <v>77</v>
      </c>
      <c r="P16" s="165"/>
      <c r="Q16" s="166" t="s">
        <v>417</v>
      </c>
      <c r="R16" s="167"/>
    </row>
    <row r="17" spans="1:18" ht="45" x14ac:dyDescent="0.25">
      <c r="A17" s="78"/>
      <c r="B17" t="s">
        <v>418</v>
      </c>
      <c r="C17" t="s">
        <v>419</v>
      </c>
      <c r="D17" s="47">
        <v>43901</v>
      </c>
      <c r="E17" t="s">
        <v>383</v>
      </c>
      <c r="F17" s="3">
        <v>3850</v>
      </c>
      <c r="G17" s="3">
        <v>3850</v>
      </c>
      <c r="H17" s="41" t="s">
        <v>388</v>
      </c>
      <c r="I17" s="79" t="s">
        <v>19</v>
      </c>
      <c r="J17" s="79" t="s">
        <v>19</v>
      </c>
      <c r="K17" s="79" t="s">
        <v>19</v>
      </c>
      <c r="L17" s="79" t="s">
        <v>19</v>
      </c>
      <c r="N17" s="63"/>
      <c r="O17" t="s">
        <v>77</v>
      </c>
      <c r="P17" s="84"/>
      <c r="Q17" s="81" t="s">
        <v>420</v>
      </c>
      <c r="R17" s="43"/>
    </row>
    <row r="18" spans="1:18" ht="45" x14ac:dyDescent="0.25">
      <c r="A18" s="78"/>
      <c r="B18" t="s">
        <v>421</v>
      </c>
      <c r="C18" t="s">
        <v>422</v>
      </c>
      <c r="D18" s="47">
        <v>44129</v>
      </c>
      <c r="E18" t="s">
        <v>383</v>
      </c>
      <c r="F18" s="3">
        <v>5946.8854780000001</v>
      </c>
      <c r="G18" s="3">
        <v>8056.9583899999998</v>
      </c>
      <c r="H18" s="3">
        <v>3269.3144520000001</v>
      </c>
      <c r="I18">
        <f>G18/L18</f>
        <v>576.13114248389525</v>
      </c>
      <c r="J18" s="63">
        <f>I18/H18</f>
        <v>0.1762238386495516</v>
      </c>
      <c r="K18" s="64">
        <f t="shared" si="1"/>
        <v>2.4644183079639719</v>
      </c>
      <c r="L18" s="46">
        <v>13.984591</v>
      </c>
      <c r="N18" s="63"/>
      <c r="O18" t="s">
        <v>413</v>
      </c>
      <c r="P18" s="84"/>
      <c r="Q18" s="81" t="s">
        <v>423</v>
      </c>
      <c r="R18" s="43"/>
    </row>
    <row r="19" spans="1:18" ht="45" x14ac:dyDescent="0.25">
      <c r="A19" s="78"/>
      <c r="B19" t="s">
        <v>424</v>
      </c>
      <c r="C19" t="s">
        <v>425</v>
      </c>
      <c r="D19" s="47">
        <v>44213</v>
      </c>
      <c r="E19" t="s">
        <v>383</v>
      </c>
      <c r="F19" s="3">
        <v>330</v>
      </c>
      <c r="G19" s="3">
        <v>330</v>
      </c>
      <c r="H19" s="3">
        <v>129.12</v>
      </c>
      <c r="I19" s="79" t="s">
        <v>19</v>
      </c>
      <c r="J19" s="79" t="s">
        <v>19</v>
      </c>
      <c r="K19" s="64">
        <f>G19/H19</f>
        <v>2.5557620817843865</v>
      </c>
      <c r="L19" s="83">
        <f>K19/$D$41</f>
        <v>8.3888209048812925</v>
      </c>
      <c r="M19" s="43"/>
      <c r="N19" s="63"/>
      <c r="O19" t="s">
        <v>77</v>
      </c>
      <c r="P19" s="84"/>
      <c r="Q19" s="81" t="s">
        <v>426</v>
      </c>
      <c r="R19" s="43"/>
    </row>
    <row r="20" spans="1:18" ht="90" x14ac:dyDescent="0.25">
      <c r="A20" s="78"/>
      <c r="B20" t="s">
        <v>427</v>
      </c>
      <c r="C20" t="s">
        <v>428</v>
      </c>
      <c r="D20" s="47">
        <v>44243</v>
      </c>
      <c r="E20" t="s">
        <v>383</v>
      </c>
      <c r="F20" s="3">
        <v>4300</v>
      </c>
      <c r="G20" s="3">
        <v>4300</v>
      </c>
      <c r="H20" s="3">
        <v>3820.65</v>
      </c>
      <c r="I20" s="79" t="s">
        <v>19</v>
      </c>
      <c r="J20" s="79" t="s">
        <v>19</v>
      </c>
      <c r="K20" s="64">
        <f t="shared" si="1"/>
        <v>1.1254629447868818</v>
      </c>
      <c r="L20" s="83">
        <f>K20/$D$41</f>
        <v>3.6941259697795132</v>
      </c>
      <c r="N20" s="63"/>
      <c r="O20" t="s">
        <v>77</v>
      </c>
      <c r="P20" s="84"/>
      <c r="Q20" s="81" t="s">
        <v>429</v>
      </c>
      <c r="R20" s="43"/>
    </row>
    <row r="21" spans="1:18" ht="45" x14ac:dyDescent="0.25">
      <c r="A21" s="78"/>
      <c r="B21" s="154" t="s">
        <v>430</v>
      </c>
      <c r="C21" s="154" t="s">
        <v>431</v>
      </c>
      <c r="D21" s="47">
        <v>44357</v>
      </c>
      <c r="E21" t="s">
        <v>383</v>
      </c>
      <c r="F21" s="3">
        <v>308.95530000000002</v>
      </c>
      <c r="G21" s="3">
        <v>308.95530000000002</v>
      </c>
      <c r="H21" s="3">
        <v>2.2792970000000001</v>
      </c>
      <c r="I21" s="79" t="s">
        <v>19</v>
      </c>
      <c r="J21" s="79" t="s">
        <v>19</v>
      </c>
      <c r="K21" s="64">
        <f t="shared" si="1"/>
        <v>135.54850464858245</v>
      </c>
      <c r="L21" s="64">
        <f>K21/$D$41</f>
        <v>444.91313863907499</v>
      </c>
      <c r="N21" s="63"/>
      <c r="O21" t="s">
        <v>77</v>
      </c>
      <c r="P21" s="84"/>
      <c r="Q21" s="155" t="s">
        <v>432</v>
      </c>
      <c r="R21" s="43"/>
    </row>
    <row r="22" spans="1:18" s="61" customFormat="1" ht="30" x14ac:dyDescent="0.25">
      <c r="A22" s="78"/>
      <c r="B22" s="61" t="s">
        <v>433</v>
      </c>
      <c r="C22" s="61" t="s">
        <v>11</v>
      </c>
      <c r="D22" s="160">
        <v>44501</v>
      </c>
      <c r="E22" s="61" t="s">
        <v>383</v>
      </c>
      <c r="F22" s="161">
        <v>6600</v>
      </c>
      <c r="G22" s="161">
        <v>6600</v>
      </c>
      <c r="H22" s="161">
        <v>1400</v>
      </c>
      <c r="I22" s="169" t="s">
        <v>19</v>
      </c>
      <c r="J22" s="169" t="s">
        <v>19</v>
      </c>
      <c r="K22" s="163">
        <f t="shared" si="1"/>
        <v>4.7142857142857144</v>
      </c>
      <c r="L22" s="163">
        <f>K22/$D$41</f>
        <v>15.473779360546752</v>
      </c>
      <c r="M22" s="167"/>
      <c r="N22" s="162"/>
      <c r="O22" s="61" t="s">
        <v>77</v>
      </c>
      <c r="P22" s="165"/>
      <c r="Q22" s="166" t="s">
        <v>434</v>
      </c>
      <c r="R22" s="167"/>
    </row>
    <row r="23" spans="1:18" ht="90" x14ac:dyDescent="0.25">
      <c r="A23" s="78"/>
      <c r="B23" t="s">
        <v>435</v>
      </c>
      <c r="C23" t="s">
        <v>436</v>
      </c>
      <c r="D23" s="47">
        <v>44614</v>
      </c>
      <c r="E23" t="s">
        <v>383</v>
      </c>
      <c r="F23" s="3">
        <v>7900</v>
      </c>
      <c r="G23" s="3">
        <v>10896.52</v>
      </c>
      <c r="H23" s="3">
        <v>5012.78</v>
      </c>
      <c r="I23" s="79">
        <f>G23/L23</f>
        <v>808.34718100890211</v>
      </c>
      <c r="J23" s="63">
        <f>I23/H23</f>
        <v>0.16125726263847648</v>
      </c>
      <c r="K23" s="64">
        <f>G23/H23</f>
        <v>2.1737479003666631</v>
      </c>
      <c r="L23" s="46">
        <v>13.48</v>
      </c>
      <c r="M23" s="43"/>
      <c r="N23" s="63"/>
      <c r="O23" t="s">
        <v>393</v>
      </c>
      <c r="P23" s="84"/>
      <c r="Q23" s="81" t="s">
        <v>437</v>
      </c>
      <c r="R23" s="43"/>
    </row>
    <row r="24" spans="1:18" s="61" customFormat="1" ht="90" x14ac:dyDescent="0.25">
      <c r="A24" s="78"/>
      <c r="B24" s="61" t="s">
        <v>438</v>
      </c>
      <c r="C24" s="61" t="s">
        <v>439</v>
      </c>
      <c r="D24" s="160">
        <v>45110</v>
      </c>
      <c r="E24" s="61" t="s">
        <v>383</v>
      </c>
      <c r="F24" s="161">
        <v>362</v>
      </c>
      <c r="G24" s="161">
        <v>362</v>
      </c>
      <c r="H24" s="161">
        <v>1400</v>
      </c>
      <c r="I24" s="169" t="s">
        <v>19</v>
      </c>
      <c r="J24" s="169" t="s">
        <v>19</v>
      </c>
      <c r="K24" s="163">
        <f>G24/H24</f>
        <v>0.25857142857142856</v>
      </c>
      <c r="L24" s="163">
        <f>K24/$D$41</f>
        <v>0.848713352805746</v>
      </c>
      <c r="M24" s="167"/>
      <c r="N24" s="162"/>
      <c r="O24" s="61" t="s">
        <v>77</v>
      </c>
      <c r="P24" s="165"/>
      <c r="Q24" s="166" t="s">
        <v>440</v>
      </c>
      <c r="R24" s="167"/>
    </row>
    <row r="25" spans="1:18" ht="45" x14ac:dyDescent="0.25">
      <c r="A25" s="78"/>
      <c r="B25" t="s">
        <v>441</v>
      </c>
      <c r="C25" t="s">
        <v>442</v>
      </c>
      <c r="D25" s="47">
        <v>45110</v>
      </c>
      <c r="E25" t="s">
        <v>383</v>
      </c>
      <c r="F25" s="3">
        <v>327.29999700000002</v>
      </c>
      <c r="G25" s="3">
        <v>327.29999700000002</v>
      </c>
      <c r="H25" s="3">
        <v>218.19999799999999</v>
      </c>
      <c r="I25" s="55">
        <v>27.3</v>
      </c>
      <c r="J25" s="63">
        <f>I25/H25</f>
        <v>0.12511457493230591</v>
      </c>
      <c r="K25" s="64">
        <f>G25/H25</f>
        <v>1.5000000000000002</v>
      </c>
      <c r="L25" s="64">
        <f>G25/I25</f>
        <v>11.98901087912088</v>
      </c>
      <c r="O25" t="s">
        <v>393</v>
      </c>
      <c r="P25" s="84"/>
      <c r="Q25" s="81" t="s">
        <v>443</v>
      </c>
      <c r="R25" s="43"/>
    </row>
    <row r="26" spans="1:18" ht="45" x14ac:dyDescent="0.25">
      <c r="A26" s="78"/>
      <c r="B26" t="s">
        <v>444</v>
      </c>
      <c r="C26" t="s">
        <v>445</v>
      </c>
      <c r="D26" s="47">
        <v>45279</v>
      </c>
      <c r="E26" t="s">
        <v>446</v>
      </c>
      <c r="F26" s="3">
        <v>161.00337099999999</v>
      </c>
      <c r="G26" s="3">
        <v>161.00337099999999</v>
      </c>
      <c r="H26" s="3">
        <v>194.009062</v>
      </c>
      <c r="I26" s="79" t="s">
        <v>19</v>
      </c>
      <c r="J26" s="79" t="s">
        <v>19</v>
      </c>
      <c r="K26" s="64">
        <f>G26/H26</f>
        <v>0.82987551890746214</v>
      </c>
      <c r="L26" s="64">
        <f>K26/$D$41</f>
        <v>2.7239143858803998</v>
      </c>
      <c r="M26" s="43"/>
      <c r="N26" s="63"/>
      <c r="O26" t="s">
        <v>447</v>
      </c>
      <c r="P26" s="84"/>
      <c r="Q26" s="81" t="s">
        <v>448</v>
      </c>
      <c r="R26" s="43"/>
    </row>
    <row r="27" spans="1:18" ht="15.75" x14ac:dyDescent="0.25">
      <c r="A27" s="78"/>
      <c r="D27" s="47"/>
      <c r="F27" s="3"/>
      <c r="G27" s="3"/>
      <c r="H27" s="3"/>
      <c r="I27" s="79"/>
      <c r="J27" s="79"/>
      <c r="K27" s="64"/>
      <c r="L27" s="64"/>
      <c r="M27" s="43"/>
      <c r="N27" s="63"/>
      <c r="P27" s="84"/>
      <c r="Q27" s="81"/>
      <c r="R27" s="43"/>
    </row>
    <row r="28" spans="1:18" ht="15.75" x14ac:dyDescent="0.25">
      <c r="A28" s="78"/>
      <c r="D28" s="47"/>
      <c r="F28" s="3"/>
      <c r="G28" s="3"/>
      <c r="H28" s="3"/>
      <c r="I28" s="79"/>
      <c r="J28" s="79"/>
      <c r="K28" s="64"/>
      <c r="L28" s="64"/>
      <c r="M28" s="43"/>
      <c r="N28" s="63"/>
      <c r="P28" s="84"/>
      <c r="Q28" s="81"/>
      <c r="R28" s="43"/>
    </row>
    <row r="29" spans="1:18" ht="15.75" x14ac:dyDescent="0.25">
      <c r="A29" s="78"/>
      <c r="D29" s="47"/>
      <c r="F29" s="3"/>
      <c r="G29" s="3"/>
      <c r="H29" s="3"/>
      <c r="I29" s="79"/>
      <c r="J29" s="79"/>
      <c r="K29" s="64"/>
      <c r="L29" s="64"/>
      <c r="M29" s="43"/>
      <c r="N29" s="63"/>
      <c r="P29" s="84"/>
      <c r="Q29" s="81"/>
      <c r="R29" s="43"/>
    </row>
    <row r="30" spans="1:18" ht="15.75" x14ac:dyDescent="0.25">
      <c r="A30" s="78" t="s">
        <v>449</v>
      </c>
      <c r="D30" s="47"/>
      <c r="E30" s="126"/>
      <c r="F30" s="3"/>
      <c r="G30" s="3"/>
      <c r="H30" s="3"/>
      <c r="I30" s="127"/>
      <c r="J30" s="127"/>
      <c r="K30" s="64"/>
      <c r="L30" s="127"/>
      <c r="M30" s="43"/>
      <c r="N30" s="58"/>
      <c r="Q30" s="128"/>
      <c r="R30" s="43"/>
    </row>
    <row r="31" spans="1:18" ht="15.75" x14ac:dyDescent="0.25">
      <c r="A31" s="78"/>
      <c r="B31" t="str">
        <f>B11</f>
        <v>Dr Pepper Snapple Group, Inc</v>
      </c>
      <c r="C31" t="str">
        <f t="shared" ref="C31:P31" si="2">C11</f>
        <v>Keurig Green Mountain, Inc.</v>
      </c>
      <c r="D31" s="170">
        <f t="shared" si="2"/>
        <v>43129</v>
      </c>
      <c r="E31" t="str">
        <f t="shared" si="2"/>
        <v>Complete</v>
      </c>
      <c r="F31">
        <f t="shared" si="2"/>
        <v>27024.925839</v>
      </c>
      <c r="G31">
        <f t="shared" si="2"/>
        <v>27024.925839</v>
      </c>
      <c r="H31">
        <f t="shared" si="2"/>
        <v>6704</v>
      </c>
      <c r="I31">
        <f t="shared" si="2"/>
        <v>1580.4050198245614</v>
      </c>
      <c r="J31" s="63">
        <f t="shared" si="2"/>
        <v>0.23574060558242263</v>
      </c>
      <c r="K31" s="64">
        <f t="shared" si="2"/>
        <v>4.0311643554594268</v>
      </c>
      <c r="L31" s="64">
        <f>L11</f>
        <v>17.100000000000001</v>
      </c>
      <c r="M31">
        <f t="shared" si="2"/>
        <v>600</v>
      </c>
      <c r="N31" s="63">
        <f t="shared" si="2"/>
        <v>8.9498806682577564E-2</v>
      </c>
      <c r="O31" t="str">
        <f t="shared" si="2"/>
        <v>USA</v>
      </c>
      <c r="P31">
        <f t="shared" si="2"/>
        <v>0</v>
      </c>
      <c r="Q31" s="128"/>
      <c r="R31" s="43"/>
    </row>
    <row r="32" spans="1:18" ht="15.75" x14ac:dyDescent="0.25">
      <c r="A32" s="78"/>
      <c r="B32" t="str">
        <f>B13</f>
        <v>Sodastream International</v>
      </c>
      <c r="C32" t="str">
        <f t="shared" ref="C32:P32" si="3">C13</f>
        <v>PepsiCo</v>
      </c>
      <c r="D32" s="170">
        <f t="shared" si="3"/>
        <v>43332</v>
      </c>
      <c r="E32" t="str">
        <f t="shared" si="3"/>
        <v>Complete</v>
      </c>
      <c r="F32">
        <f t="shared" si="3"/>
        <v>3307.95</v>
      </c>
      <c r="G32">
        <f t="shared" si="3"/>
        <v>3136.2489999999998</v>
      </c>
      <c r="H32">
        <f t="shared" si="3"/>
        <v>612.572</v>
      </c>
      <c r="I32">
        <f t="shared" si="3"/>
        <v>126.741</v>
      </c>
      <c r="J32" s="63">
        <f t="shared" si="3"/>
        <v>0.20689976035470117</v>
      </c>
      <c r="K32" s="64">
        <f t="shared" si="3"/>
        <v>5.1198046923463689</v>
      </c>
      <c r="L32" s="64">
        <f t="shared" si="3"/>
        <v>24.745338919528802</v>
      </c>
      <c r="M32">
        <f t="shared" si="3"/>
        <v>0</v>
      </c>
      <c r="N32" s="63">
        <f t="shared" si="3"/>
        <v>0</v>
      </c>
      <c r="O32" t="str">
        <f t="shared" si="3"/>
        <v>Israel</v>
      </c>
      <c r="P32">
        <f t="shared" si="3"/>
        <v>0</v>
      </c>
      <c r="Q32" s="128"/>
      <c r="R32" s="43"/>
    </row>
    <row r="33" spans="1:18" ht="15.75" x14ac:dyDescent="0.25">
      <c r="A33" s="78"/>
      <c r="B33" t="str">
        <f>B16</f>
        <v>Primo Water Corp.</v>
      </c>
      <c r="C33" t="str">
        <f t="shared" ref="C33:P33" si="4">C16</f>
        <v>Cott Corp. (Canada)</v>
      </c>
      <c r="D33" s="170">
        <f t="shared" si="4"/>
        <v>43843</v>
      </c>
      <c r="E33" t="str">
        <f t="shared" si="4"/>
        <v>Complete</v>
      </c>
      <c r="F33">
        <f t="shared" si="4"/>
        <v>765.56259599999998</v>
      </c>
      <c r="G33">
        <f t="shared" si="4"/>
        <v>765.56259599999998</v>
      </c>
      <c r="H33">
        <f t="shared" si="4"/>
        <v>307.15600000000001</v>
      </c>
      <c r="I33">
        <f t="shared" si="4"/>
        <v>45.536001518892562</v>
      </c>
      <c r="J33" s="63">
        <f t="shared" si="4"/>
        <v>0.14825040539300083</v>
      </c>
      <c r="K33" s="64">
        <f t="shared" si="4"/>
        <v>2.492422729818073</v>
      </c>
      <c r="L33" s="64">
        <f t="shared" si="4"/>
        <v>16.812249000000001</v>
      </c>
      <c r="M33">
        <f t="shared" si="4"/>
        <v>35</v>
      </c>
      <c r="N33" s="63">
        <f t="shared" si="4"/>
        <v>0.11394861243146805</v>
      </c>
      <c r="O33" t="str">
        <f t="shared" si="4"/>
        <v>USA</v>
      </c>
      <c r="P33">
        <f t="shared" si="4"/>
        <v>0</v>
      </c>
      <c r="Q33" s="128"/>
      <c r="R33" s="43"/>
    </row>
    <row r="34" spans="1:18" ht="15.75" x14ac:dyDescent="0.25">
      <c r="A34" s="78"/>
      <c r="B34" t="str">
        <f>B22</f>
        <v>BodyArmor</v>
      </c>
      <c r="C34" t="str">
        <f t="shared" ref="C34:P34" si="5">C22</f>
        <v>Coca-Cola Company</v>
      </c>
      <c r="D34" s="170">
        <f t="shared" si="5"/>
        <v>44501</v>
      </c>
      <c r="E34" t="str">
        <f t="shared" si="5"/>
        <v>Complete</v>
      </c>
      <c r="F34">
        <f t="shared" si="5"/>
        <v>6600</v>
      </c>
      <c r="G34">
        <f t="shared" si="5"/>
        <v>6600</v>
      </c>
      <c r="H34">
        <f t="shared" si="5"/>
        <v>1400</v>
      </c>
      <c r="I34" s="79" t="str">
        <f t="shared" si="5"/>
        <v>NA</v>
      </c>
      <c r="J34" s="82" t="str">
        <f t="shared" si="5"/>
        <v>NA</v>
      </c>
      <c r="K34" s="64">
        <f t="shared" si="5"/>
        <v>4.7142857142857144</v>
      </c>
      <c r="L34" s="64">
        <f t="shared" si="5"/>
        <v>15.473779360546752</v>
      </c>
      <c r="M34">
        <f t="shared" si="5"/>
        <v>0</v>
      </c>
      <c r="N34" s="63">
        <f t="shared" si="5"/>
        <v>0</v>
      </c>
      <c r="O34" t="str">
        <f t="shared" si="5"/>
        <v>USA</v>
      </c>
      <c r="P34">
        <f t="shared" si="5"/>
        <v>0</v>
      </c>
      <c r="Q34" s="128"/>
      <c r="R34" s="43"/>
    </row>
    <row r="35" spans="1:18" ht="15.75" x14ac:dyDescent="0.25">
      <c r="A35" s="78"/>
      <c r="D35" s="47"/>
      <c r="E35" s="126"/>
      <c r="F35" s="3"/>
      <c r="G35" s="3"/>
      <c r="H35" s="3"/>
      <c r="I35" s="127"/>
      <c r="J35" s="127"/>
      <c r="K35" s="64"/>
      <c r="L35" s="127"/>
      <c r="M35" s="43"/>
      <c r="N35" s="58"/>
      <c r="Q35" s="128"/>
      <c r="R35" s="43"/>
    </row>
    <row r="36" spans="1:18" x14ac:dyDescent="0.25">
      <c r="A36" s="77"/>
      <c r="B36" s="77"/>
      <c r="C36" s="77"/>
      <c r="D36" s="77" t="s">
        <v>450</v>
      </c>
      <c r="E36" s="77"/>
      <c r="H36" s="43"/>
      <c r="I36" s="43"/>
      <c r="J36" s="43"/>
      <c r="K36" s="43"/>
      <c r="L36" s="43"/>
      <c r="M36" s="43"/>
      <c r="N36" s="43"/>
      <c r="O36" s="43"/>
      <c r="P36" s="43"/>
      <c r="Q36" s="128"/>
      <c r="R36" s="43"/>
    </row>
    <row r="37" spans="1:18" x14ac:dyDescent="0.25">
      <c r="A37" s="77"/>
      <c r="B37" s="77"/>
      <c r="C37" s="77"/>
      <c r="D37" s="252">
        <f>'Red Bull Model'!H3</f>
        <v>46022</v>
      </c>
      <c r="E37" s="77"/>
      <c r="H37" s="43"/>
      <c r="I37" s="43"/>
      <c r="J37" s="43"/>
      <c r="K37" s="43"/>
      <c r="L37" s="43"/>
      <c r="M37" s="43"/>
      <c r="N37" s="43"/>
      <c r="O37" s="43"/>
      <c r="P37" s="43"/>
      <c r="Q37" s="43"/>
      <c r="R37" s="43"/>
    </row>
    <row r="39" spans="1:18" x14ac:dyDescent="0.25">
      <c r="B39" t="s">
        <v>451</v>
      </c>
      <c r="D39" s="230">
        <f>'Red Bull Model'!H54</f>
        <v>12196</v>
      </c>
    </row>
    <row r="40" spans="1:18" ht="15.75" x14ac:dyDescent="0.25">
      <c r="A40" s="10"/>
      <c r="B40" t="s">
        <v>452</v>
      </c>
      <c r="D40" s="230">
        <f>'Red Bull Model'!H60</f>
        <v>3715.6681138948998</v>
      </c>
    </row>
    <row r="41" spans="1:18" ht="15.75" x14ac:dyDescent="0.25">
      <c r="A41" s="10"/>
      <c r="B41" t="s">
        <v>453</v>
      </c>
      <c r="D41" s="227">
        <f>D40/D39</f>
        <v>0.30466284961420953</v>
      </c>
    </row>
    <row r="42" spans="1:18" ht="15.75" x14ac:dyDescent="0.25">
      <c r="A42" s="10"/>
    </row>
    <row r="43" spans="1:18" ht="15.75" x14ac:dyDescent="0.25">
      <c r="A43" s="10"/>
      <c r="D43" s="79" t="s">
        <v>454</v>
      </c>
      <c r="E43" s="79" t="s">
        <v>455</v>
      </c>
      <c r="F43" s="79" t="s">
        <v>282</v>
      </c>
    </row>
    <row r="44" spans="1:18" ht="15.75" x14ac:dyDescent="0.25">
      <c r="A44" s="10"/>
      <c r="B44" t="s">
        <v>456</v>
      </c>
      <c r="D44" s="83">
        <f>MIN(L31:L34)</f>
        <v>15.473779360546752</v>
      </c>
      <c r="E44" s="83">
        <f>MAX(L31:L34)</f>
        <v>24.745338919528802</v>
      </c>
      <c r="F44" s="64">
        <f>MEDIAN(L31:L34)</f>
        <v>16.956124500000001</v>
      </c>
    </row>
    <row r="45" spans="1:18" ht="15.75" x14ac:dyDescent="0.25">
      <c r="A45" s="10"/>
      <c r="B45" t="s">
        <v>284</v>
      </c>
      <c r="D45">
        <f>D44*$D$40</f>
        <v>57495.42857142858</v>
      </c>
      <c r="E45">
        <f t="shared" ref="E45:F45" si="6">E44*$D$40</f>
        <v>91945.466790815641</v>
      </c>
      <c r="F45">
        <f t="shared" si="6"/>
        <v>63003.331139882102</v>
      </c>
    </row>
    <row r="46" spans="1:18" ht="15.75" x14ac:dyDescent="0.25">
      <c r="A46" s="10"/>
    </row>
    <row r="47" spans="1:18" ht="15.75" x14ac:dyDescent="0.25">
      <c r="A47" s="10" t="s">
        <v>38</v>
      </c>
    </row>
    <row r="48" spans="1:18" ht="15.75" x14ac:dyDescent="0.25">
      <c r="A48" s="10"/>
    </row>
    <row r="49" spans="1:1" ht="15.75" x14ac:dyDescent="0.25">
      <c r="A49" s="10"/>
    </row>
    <row r="50" spans="1:1" ht="15.75" x14ac:dyDescent="0.25">
      <c r="A50" s="10"/>
    </row>
    <row r="51" spans="1:1" ht="15.75" x14ac:dyDescent="0.25">
      <c r="A51" s="10"/>
    </row>
    <row r="52" spans="1:1" ht="15.75" x14ac:dyDescent="0.25">
      <c r="A52" s="10"/>
    </row>
    <row r="53" spans="1:1" ht="15.75" x14ac:dyDescent="0.25">
      <c r="A53" s="10"/>
    </row>
    <row r="54" spans="1:1" ht="15.75" x14ac:dyDescent="0.25">
      <c r="A54" s="10"/>
    </row>
  </sheetData>
  <printOptions headings="1" gridLines="1"/>
  <pageMargins left="0.25" right="0.25" top="0.75" bottom="0.75" header="0.3" footer="0.3"/>
  <pageSetup paperSize="9" scale="44" fitToHeight="0" orientation="landscape" r:id="rId1"/>
  <headerFooter>
    <oddHeader>&amp;R&amp;F  &amp;A</oddHeader>
    <oddFooter>&amp;L© 2016&amp;CPage &amp;P of</oddFooter>
  </headerFooter>
  <rowBreaks count="1" manualBreakCount="1">
    <brk id="14" max="16" man="1"/>
  </rowBreaks>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theme="9" tint="0.39997558519241921"/>
    <pageSetUpPr fitToPage="1"/>
  </sheetPr>
  <dimension ref="A1:M79"/>
  <sheetViews>
    <sheetView zoomScaleNormal="100" zoomScaleSheetLayoutView="85" workbookViewId="0"/>
  </sheetViews>
  <sheetFormatPr defaultColWidth="12.5703125" defaultRowHeight="15" customHeight="1" x14ac:dyDescent="0.25"/>
  <cols>
    <col min="1" max="1" width="1.5703125" customWidth="1"/>
    <col min="2" max="2" width="40.5703125" customWidth="1"/>
    <col min="3" max="4" width="27.28515625" bestFit="1" customWidth="1"/>
    <col min="5" max="5" width="24" customWidth="1"/>
    <col min="6" max="13" width="10.28515625" customWidth="1"/>
  </cols>
  <sheetData>
    <row r="1" spans="1:13" ht="30" customHeight="1" x14ac:dyDescent="0.45">
      <c r="A1" s="180" t="s">
        <v>469</v>
      </c>
      <c r="B1" s="72"/>
      <c r="C1" s="72"/>
      <c r="D1" s="72"/>
      <c r="E1" s="72"/>
      <c r="F1" s="72"/>
      <c r="G1" s="72"/>
      <c r="H1" s="72"/>
      <c r="I1" s="72"/>
      <c r="J1" s="72"/>
      <c r="K1" s="72"/>
      <c r="L1" s="72"/>
      <c r="M1" s="72"/>
    </row>
    <row r="2" spans="1:13" ht="15" customHeight="1" x14ac:dyDescent="0.25">
      <c r="A2" t="s">
        <v>470</v>
      </c>
      <c r="L2" s="43"/>
      <c r="M2" s="43"/>
    </row>
    <row r="3" spans="1:13" ht="15" customHeight="1" x14ac:dyDescent="0.25">
      <c r="A3" s="10"/>
      <c r="L3" s="43"/>
      <c r="M3" s="43"/>
    </row>
    <row r="4" spans="1:13" ht="15" customHeight="1" x14ac:dyDescent="0.25">
      <c r="A4" s="10" t="s">
        <v>136</v>
      </c>
      <c r="L4" s="43"/>
      <c r="M4" s="43"/>
    </row>
    <row r="5" spans="1:13" ht="15" customHeight="1" x14ac:dyDescent="0.25">
      <c r="A5" s="10"/>
      <c r="B5" t="s">
        <v>28</v>
      </c>
      <c r="C5" s="230">
        <f ca="1">'Red Bull Model'!H88+'Red Bull Model'!H84</f>
        <v>462.40000000000003</v>
      </c>
      <c r="L5" s="43"/>
      <c r="M5" s="43"/>
    </row>
    <row r="6" spans="1:13" ht="15" customHeight="1" x14ac:dyDescent="0.25">
      <c r="A6" s="10"/>
      <c r="B6" t="s">
        <v>29</v>
      </c>
      <c r="C6" s="230">
        <f ca="1">'Red Bull Model'!H74+'Red Bull Model'!H81</f>
        <v>2666.7257016278827</v>
      </c>
      <c r="L6" s="43"/>
      <c r="M6" s="43"/>
    </row>
    <row r="7" spans="1:13" ht="15" customHeight="1" x14ac:dyDescent="0.25">
      <c r="A7" s="10"/>
      <c r="L7" s="43"/>
      <c r="M7" s="43"/>
    </row>
    <row r="8" spans="1:13" ht="15" customHeight="1" x14ac:dyDescent="0.25">
      <c r="A8" s="10"/>
      <c r="C8" s="79" t="s">
        <v>450</v>
      </c>
      <c r="D8" s="79" t="s">
        <v>471</v>
      </c>
      <c r="E8" s="79" t="s">
        <v>472</v>
      </c>
      <c r="L8" s="43"/>
      <c r="M8" s="43"/>
    </row>
    <row r="9" spans="1:13" ht="15" customHeight="1" x14ac:dyDescent="0.25">
      <c r="A9" s="10"/>
      <c r="C9" s="159">
        <f>YEAR('Red Bull Model'!H3)</f>
        <v>2025</v>
      </c>
      <c r="D9" s="159">
        <f>YEAR('Red Bull Model'!I3)</f>
        <v>2026</v>
      </c>
      <c r="E9" s="159">
        <f>YEAR('Red Bull Model'!J3)</f>
        <v>2027</v>
      </c>
      <c r="L9" s="43"/>
      <c r="M9" s="43"/>
    </row>
    <row r="10" spans="1:13" ht="15" customHeight="1" x14ac:dyDescent="0.25">
      <c r="A10" s="10"/>
      <c r="B10" t="s">
        <v>75</v>
      </c>
      <c r="C10" s="230">
        <f>'Red Bull Model'!H54</f>
        <v>12196</v>
      </c>
      <c r="D10" s="230">
        <f>'Red Bull Model'!I54</f>
        <v>13252.445163238548</v>
      </c>
      <c r="E10" s="230">
        <f>'Red Bull Model'!J54</f>
        <v>14351.414504060773</v>
      </c>
      <c r="L10" s="43"/>
      <c r="M10" s="43"/>
    </row>
    <row r="11" spans="1:13" ht="15" customHeight="1" x14ac:dyDescent="0.25">
      <c r="A11" s="10"/>
      <c r="B11" t="s">
        <v>18</v>
      </c>
      <c r="C11" s="230">
        <f>'Red Bull Model'!H60</f>
        <v>3715.6681138948998</v>
      </c>
      <c r="D11" s="230">
        <f>'Red Bull Model'!I60</f>
        <v>4174.5202264201425</v>
      </c>
      <c r="E11" s="230">
        <f>'Red Bull Model'!J60</f>
        <v>4664.2097138197514</v>
      </c>
      <c r="L11" s="43"/>
      <c r="M11" s="43"/>
    </row>
    <row r="12" spans="1:13" ht="15" customHeight="1" x14ac:dyDescent="0.25">
      <c r="A12" s="10"/>
      <c r="L12" s="43"/>
      <c r="M12" s="43"/>
    </row>
    <row r="13" spans="1:13" ht="15" customHeight="1" x14ac:dyDescent="0.25">
      <c r="A13" s="10" t="s">
        <v>131</v>
      </c>
      <c r="L13" s="43"/>
      <c r="M13" s="43"/>
    </row>
    <row r="14" spans="1:13" ht="15" customHeight="1" x14ac:dyDescent="0.25">
      <c r="A14" s="10"/>
      <c r="C14" s="79" t="s">
        <v>454</v>
      </c>
      <c r="D14" s="79" t="s">
        <v>455</v>
      </c>
      <c r="L14" s="43"/>
      <c r="M14" s="43"/>
    </row>
    <row r="15" spans="1:13" ht="15" customHeight="1" x14ac:dyDescent="0.25">
      <c r="A15" s="10"/>
      <c r="C15" s="233" t="str">
        <f ca="1">OFFSET(Trading_comps!$C$27,MATCH(C16,Trading_comps!$AG$28:$AG$29,0),0)</f>
        <v>Coca-Cola Company</v>
      </c>
      <c r="D15" s="233" t="str">
        <f ca="1">OFFSET(Trading_comps!$C$27,MATCH(D16,Trading_comps!$AG$28:$AG$29,0),0)</f>
        <v>Monster Beverage</v>
      </c>
      <c r="L15" s="43"/>
      <c r="M15" s="43"/>
    </row>
    <row r="16" spans="1:13" ht="15" customHeight="1" x14ac:dyDescent="0.25">
      <c r="A16" s="10"/>
      <c r="B16" t="s">
        <v>473</v>
      </c>
      <c r="C16" s="231">
        <f ca="1">MIN(Trading_comps!$AG$28:$AG$29)</f>
        <v>7.1480363126914961</v>
      </c>
      <c r="D16" s="231">
        <f ca="1">MAX(Trading_comps!$AG$28:$AG$29)</f>
        <v>8.1557446975599817</v>
      </c>
      <c r="L16" s="43"/>
      <c r="M16" s="43"/>
    </row>
    <row r="17" spans="1:13" ht="15" customHeight="1" x14ac:dyDescent="0.25">
      <c r="A17" s="10"/>
      <c r="B17" t="s">
        <v>284</v>
      </c>
      <c r="C17">
        <f ca="1">C16*$E$10</f>
        <v>102584.43201351383</v>
      </c>
      <c r="D17">
        <f ca="1">D16*$E$10</f>
        <v>117046.47274397906</v>
      </c>
      <c r="L17" s="43"/>
      <c r="M17" s="43"/>
    </row>
    <row r="18" spans="1:13" ht="15" customHeight="1" x14ac:dyDescent="0.25">
      <c r="A18" s="10"/>
      <c r="L18" s="43"/>
      <c r="M18" s="43"/>
    </row>
    <row r="19" spans="1:13" ht="15" customHeight="1" x14ac:dyDescent="0.25">
      <c r="A19" s="10"/>
      <c r="C19" s="79" t="s">
        <v>454</v>
      </c>
      <c r="D19" s="79" t="s">
        <v>455</v>
      </c>
      <c r="L19" s="43"/>
      <c r="M19" s="43"/>
    </row>
    <row r="20" spans="1:13" ht="15" customHeight="1" x14ac:dyDescent="0.25">
      <c r="A20" s="10"/>
      <c r="C20" s="233" t="str">
        <f ca="1">OFFSET(Trading_comps!$C$27,MATCH(Valuation_summary!C21,Trading_comps!$AK$28:$AK$29,0),0)</f>
        <v>Coca-Cola Company</v>
      </c>
      <c r="D20" s="233" t="str">
        <f ca="1">OFFSET(Trading_comps!$C$27,MATCH(Valuation_summary!D21,Trading_comps!$AK$28:$AK$29,0),0)</f>
        <v>Monster Beverage</v>
      </c>
      <c r="L20" s="43"/>
      <c r="M20" s="43"/>
    </row>
    <row r="21" spans="1:13" ht="15" customHeight="1" x14ac:dyDescent="0.25">
      <c r="A21" s="10"/>
      <c r="B21" t="s">
        <v>474</v>
      </c>
      <c r="C21" s="231">
        <f ca="1">MIN(Trading_comps!$AK$28:$AK$29)</f>
        <v>19.512755511363622</v>
      </c>
      <c r="D21" s="231">
        <f ca="1">MAX(Trading_comps!$AK$28:$AK$29)</f>
        <v>24.927213219671316</v>
      </c>
      <c r="L21" s="43"/>
      <c r="M21" s="43"/>
    </row>
    <row r="22" spans="1:13" ht="15" customHeight="1" x14ac:dyDescent="0.25">
      <c r="A22" s="10"/>
      <c r="B22" t="s">
        <v>284</v>
      </c>
      <c r="C22">
        <f ca="1">C21*$E$11</f>
        <v>91011.583799492102</v>
      </c>
      <c r="D22">
        <f ca="1">D21*$E$11</f>
        <v>116265.75003764707</v>
      </c>
      <c r="L22" s="43"/>
      <c r="M22" s="43"/>
    </row>
    <row r="23" spans="1:13" ht="15.75" customHeight="1" x14ac:dyDescent="0.25">
      <c r="A23" s="10"/>
      <c r="L23" s="43"/>
      <c r="M23" s="43"/>
    </row>
    <row r="24" spans="1:13" ht="15" customHeight="1" x14ac:dyDescent="0.25">
      <c r="A24" s="10" t="s">
        <v>475</v>
      </c>
      <c r="L24" s="43"/>
      <c r="M24" s="43"/>
    </row>
    <row r="25" spans="1:13" ht="15" customHeight="1" x14ac:dyDescent="0.25">
      <c r="A25" s="10"/>
      <c r="C25" s="79" t="s">
        <v>454</v>
      </c>
      <c r="D25" s="79" t="s">
        <v>455</v>
      </c>
      <c r="L25" s="43"/>
      <c r="M25" s="43"/>
    </row>
    <row r="26" spans="1:13" ht="15" customHeight="1" x14ac:dyDescent="0.25">
      <c r="A26" s="10"/>
      <c r="C26" t="str">
        <f ca="1">"WACC "&amp;TEXT(MIN(DCF!E56:E60),"0.0%")&amp;" and LT growth "&amp;TEXT(MIN(DCF!F55:J55),"0.0%")</f>
        <v>WACC 5.4% and LT growth 2.4%</v>
      </c>
      <c r="D26" t="str">
        <f ca="1">"WACC "&amp;TEXT(MAX(DCF!E56:E60),"0.0%")&amp;" and LT growth "&amp;TEXT(MAX(DCF!F55:J55),"0.0%")</f>
        <v>WACC 5.8% and LT growth 2.8%</v>
      </c>
      <c r="L26" s="43"/>
      <c r="M26" s="43"/>
    </row>
    <row r="27" spans="1:13" ht="15" customHeight="1" x14ac:dyDescent="0.25">
      <c r="A27" s="10"/>
      <c r="B27" t="s">
        <v>284</v>
      </c>
      <c r="C27" s="230">
        <f>MIN(DCF!$G$57:$I$59)</f>
        <v>109527.32217016032</v>
      </c>
      <c r="D27" s="230">
        <f>MAX(DCF!$G$57:$I$59)</f>
        <v>124132.72047457079</v>
      </c>
      <c r="L27" s="43"/>
      <c r="M27" s="43"/>
    </row>
    <row r="28" spans="1:13" ht="15" customHeight="1" x14ac:dyDescent="0.25">
      <c r="A28" s="10"/>
      <c r="L28" s="43"/>
      <c r="M28" s="43"/>
    </row>
    <row r="29" spans="1:13" ht="15" customHeight="1" x14ac:dyDescent="0.25">
      <c r="A29" s="10"/>
      <c r="B29" t="s">
        <v>476</v>
      </c>
      <c r="C29" s="234">
        <f>Synergies!$H$10</f>
        <v>8.1677490383670046E-2</v>
      </c>
      <c r="D29" s="234">
        <f>Synergies!$H$10</f>
        <v>8.1677490383670046E-2</v>
      </c>
      <c r="L29" s="43"/>
      <c r="M29" s="43"/>
    </row>
    <row r="30" spans="1:13" ht="15" customHeight="1" x14ac:dyDescent="0.25">
      <c r="A30" s="10"/>
      <c r="B30" t="s">
        <v>477</v>
      </c>
      <c r="C30" s="230">
        <f ca="1">Synergies!$H$26</f>
        <v>20361.605904142187</v>
      </c>
      <c r="D30" s="230">
        <f ca="1">Synergies!$H$26</f>
        <v>20361.605904142187</v>
      </c>
      <c r="L30" s="43"/>
      <c r="M30" s="43"/>
    </row>
    <row r="31" spans="1:13" ht="15" customHeight="1" x14ac:dyDescent="0.25">
      <c r="A31" s="10"/>
      <c r="B31" t="s">
        <v>478</v>
      </c>
      <c r="C31">
        <f ca="1">C27+C30</f>
        <v>129888.9280743025</v>
      </c>
      <c r="D31">
        <f ca="1">D27+D30</f>
        <v>144494.32637871298</v>
      </c>
      <c r="L31" s="43"/>
      <c r="M31" s="43"/>
    </row>
    <row r="32" spans="1:13" ht="15" customHeight="1" x14ac:dyDescent="0.25">
      <c r="A32" s="10"/>
      <c r="L32" s="43"/>
      <c r="M32" s="43"/>
    </row>
    <row r="33" spans="1:13" ht="15" customHeight="1" x14ac:dyDescent="0.25">
      <c r="A33" s="10" t="s">
        <v>479</v>
      </c>
      <c r="L33" s="43"/>
      <c r="M33" s="43"/>
    </row>
    <row r="34" spans="1:13" ht="15" customHeight="1" x14ac:dyDescent="0.25">
      <c r="A34" s="10"/>
      <c r="C34" s="233" t="str">
        <f ca="1">"Acquirer: "&amp;OFFSET(Transaction_comps!$C$30,MATCH(C36,Transaction_comps!$L$31:$L$34,0),0)</f>
        <v>Acquirer: Coca-Cola Company</v>
      </c>
      <c r="D34" s="233" t="str">
        <f ca="1">"Acquirer: "&amp;OFFSET(Transaction_comps!$C$30,MATCH(D36,Transaction_comps!$L$31:$L$34,0),0)</f>
        <v>Acquirer: PepsiCo</v>
      </c>
      <c r="L34" s="43"/>
      <c r="M34" s="43"/>
    </row>
    <row r="35" spans="1:13" ht="15" customHeight="1" x14ac:dyDescent="0.25">
      <c r="A35" s="10"/>
      <c r="C35" s="79" t="s">
        <v>480</v>
      </c>
      <c r="D35" s="79" t="s">
        <v>455</v>
      </c>
      <c r="L35" s="43"/>
      <c r="M35" s="43"/>
    </row>
    <row r="36" spans="1:13" ht="15" customHeight="1" x14ac:dyDescent="0.25">
      <c r="A36" s="10"/>
      <c r="B36" t="s">
        <v>456</v>
      </c>
      <c r="C36" s="231">
        <f>MIN(Transaction_comps!$L$31:$L$34)</f>
        <v>15.473779360546752</v>
      </c>
      <c r="D36" s="231">
        <f>MAX(Transaction_comps!$L$31:$L$34)</f>
        <v>24.745338919528802</v>
      </c>
      <c r="L36" s="43"/>
      <c r="M36" s="43"/>
    </row>
    <row r="37" spans="1:13" ht="15" customHeight="1" x14ac:dyDescent="0.25">
      <c r="A37" s="10"/>
      <c r="B37" t="s">
        <v>284</v>
      </c>
      <c r="C37">
        <f>C36*$C$11</f>
        <v>57495.42857142858</v>
      </c>
      <c r="D37">
        <f>D36*$C$11</f>
        <v>91945.466790815641</v>
      </c>
      <c r="L37" s="43"/>
      <c r="M37" s="43"/>
    </row>
    <row r="38" spans="1:13" ht="15" customHeight="1" x14ac:dyDescent="0.25">
      <c r="A38" s="10"/>
      <c r="L38" s="43"/>
      <c r="M38" s="43"/>
    </row>
    <row r="39" spans="1:13" ht="15" customHeight="1" x14ac:dyDescent="0.25">
      <c r="A39" s="10" t="s">
        <v>9</v>
      </c>
      <c r="L39" s="43"/>
      <c r="M39" s="43"/>
    </row>
    <row r="40" spans="1:13" ht="15" customHeight="1" x14ac:dyDescent="0.25">
      <c r="A40" s="10"/>
      <c r="B40" t="s">
        <v>481</v>
      </c>
      <c r="C40" s="11">
        <v>0.22</v>
      </c>
      <c r="D40" s="11">
        <v>0.2</v>
      </c>
      <c r="L40" s="43"/>
      <c r="M40" s="43"/>
    </row>
    <row r="41" spans="1:13" ht="15" customHeight="1" x14ac:dyDescent="0.25">
      <c r="A41" s="10"/>
      <c r="B41" t="s">
        <v>482</v>
      </c>
      <c r="C41" s="231">
        <f>LBO!C88</f>
        <v>15.25</v>
      </c>
      <c r="D41" s="231">
        <f>LBO!C90</f>
        <v>17.25</v>
      </c>
      <c r="L41" s="43"/>
      <c r="M41" s="43"/>
    </row>
    <row r="42" spans="1:13" ht="15" customHeight="1" x14ac:dyDescent="0.25">
      <c r="A42" s="10"/>
      <c r="B42" t="s">
        <v>284</v>
      </c>
      <c r="C42" s="230">
        <f>$C$11*C41</f>
        <v>56663.938736897224</v>
      </c>
      <c r="D42" s="230">
        <f>$C$11*D41</f>
        <v>64095.274964687022</v>
      </c>
      <c r="L42" s="43"/>
      <c r="M42" s="43"/>
    </row>
    <row r="43" spans="1:13" ht="15" customHeight="1" x14ac:dyDescent="0.25">
      <c r="A43" s="10"/>
      <c r="L43" s="43"/>
      <c r="M43" s="43"/>
    </row>
    <row r="44" spans="1:13" ht="15" customHeight="1" x14ac:dyDescent="0.25">
      <c r="A44" s="10" t="s">
        <v>483</v>
      </c>
      <c r="L44" s="43"/>
      <c r="M44" s="43"/>
    </row>
    <row r="45" spans="1:13" ht="15" customHeight="1" x14ac:dyDescent="0.25">
      <c r="A45" s="10"/>
      <c r="L45" s="43"/>
      <c r="M45" s="43"/>
    </row>
    <row r="46" spans="1:13" ht="15" customHeight="1" x14ac:dyDescent="0.25">
      <c r="A46" s="10"/>
      <c r="B46" t="s">
        <v>484</v>
      </c>
      <c r="C46" s="79" t="s">
        <v>454</v>
      </c>
      <c r="D46" s="79" t="s">
        <v>485</v>
      </c>
      <c r="E46" s="79" t="s">
        <v>455</v>
      </c>
      <c r="L46" s="43"/>
      <c r="M46" s="43"/>
    </row>
    <row r="47" spans="1:13" ht="15" customHeight="1" x14ac:dyDescent="0.25">
      <c r="A47" s="10"/>
      <c r="B47" t="str">
        <f>B16</f>
        <v>EV / CY2 Revenue</v>
      </c>
      <c r="C47">
        <f ca="1">C17</f>
        <v>102584.43201351383</v>
      </c>
      <c r="D47">
        <f ca="1">E47-C47</f>
        <v>14462.040730465233</v>
      </c>
      <c r="E47">
        <f ca="1">D17</f>
        <v>117046.47274397906</v>
      </c>
      <c r="L47" s="43"/>
      <c r="M47" s="43"/>
    </row>
    <row r="48" spans="1:13" ht="15" customHeight="1" x14ac:dyDescent="0.25">
      <c r="A48" s="10"/>
      <c r="B48" t="str">
        <f>B21</f>
        <v>EV / CY2 EBITDA</v>
      </c>
      <c r="C48">
        <f ca="1">C22</f>
        <v>91011.583799492102</v>
      </c>
      <c r="D48">
        <f t="shared" ref="D48:D52" ca="1" si="0">E48-C48</f>
        <v>25254.166238154969</v>
      </c>
      <c r="E48">
        <f ca="1">D22</f>
        <v>116265.75003764707</v>
      </c>
      <c r="L48" s="43"/>
      <c r="M48" s="43"/>
    </row>
    <row r="49" spans="1:13" ht="15" customHeight="1" x14ac:dyDescent="0.25">
      <c r="A49" s="10"/>
      <c r="B49" t="str">
        <f ca="1">A24&amp;" WACC "&amp;TEXT(DCF!E59,"0.0%")&amp;" - "&amp;TEXT(DCF!E57,"0.0%")&amp;", LT growth "&amp;TEXT(DCF!G55,"0.0%")&amp;" - "&amp;TEXT(DCF!I55,"0.0%")</f>
        <v>DCF WACC 5.5% - 5.7%, LT growth 2.5% - 2.7%</v>
      </c>
      <c r="C49">
        <f>C27</f>
        <v>109527.32217016032</v>
      </c>
      <c r="D49">
        <f t="shared" si="0"/>
        <v>14605.398304410468</v>
      </c>
      <c r="E49">
        <f>D27</f>
        <v>124132.72047457079</v>
      </c>
      <c r="L49" s="43"/>
      <c r="M49" s="43"/>
    </row>
    <row r="50" spans="1:13" ht="15" customHeight="1" x14ac:dyDescent="0.25">
      <c r="A50" s="10"/>
      <c r="B50" t="str">
        <f>A24&amp;" with synergies "&amp;TEXT(C29,"0.0%")&amp;" of revenue"</f>
        <v>DCF with synergies 8.2% of revenue</v>
      </c>
      <c r="C50">
        <f ca="1">C31</f>
        <v>129888.9280743025</v>
      </c>
      <c r="D50">
        <f t="shared" ca="1" si="0"/>
        <v>14605.398304410483</v>
      </c>
      <c r="E50">
        <f ca="1">D31</f>
        <v>144494.32637871298</v>
      </c>
      <c r="L50" s="43"/>
      <c r="M50" s="43"/>
    </row>
    <row r="51" spans="1:13" ht="15" customHeight="1" x14ac:dyDescent="0.25">
      <c r="A51" s="10"/>
      <c r="B51" t="s">
        <v>486</v>
      </c>
      <c r="C51">
        <f>C37</f>
        <v>57495.42857142858</v>
      </c>
      <c r="D51">
        <f t="shared" si="0"/>
        <v>34450.038219387061</v>
      </c>
      <c r="E51">
        <f>D37</f>
        <v>91945.466790815641</v>
      </c>
      <c r="L51" s="43"/>
      <c r="M51" s="43"/>
    </row>
    <row r="52" spans="1:13" ht="15" customHeight="1" x14ac:dyDescent="0.25">
      <c r="A52" s="10"/>
      <c r="B52" t="str">
        <f>A39&amp;", IRR "&amp;TEXT(D40,"0.0%")&amp;" to "&amp;TEXT(C40,"0.0%")</f>
        <v>LBO, IRR 20.0% to 22.0%</v>
      </c>
      <c r="C52">
        <f>C42</f>
        <v>56663.938736897224</v>
      </c>
      <c r="D52">
        <f t="shared" si="0"/>
        <v>7431.3362277897977</v>
      </c>
      <c r="E52">
        <f>D42</f>
        <v>64095.274964687022</v>
      </c>
      <c r="L52" s="43"/>
      <c r="M52" s="43"/>
    </row>
    <row r="53" spans="1:13" ht="15" customHeight="1" x14ac:dyDescent="0.25">
      <c r="A53" s="10"/>
      <c r="H53" t="s">
        <v>487</v>
      </c>
      <c r="L53" s="43"/>
      <c r="M53" s="43"/>
    </row>
    <row r="54" spans="1:13" ht="15" customHeight="1" x14ac:dyDescent="0.25">
      <c r="A54" s="10"/>
      <c r="H54" s="62" t="s">
        <v>488</v>
      </c>
      <c r="I54" s="62" t="s">
        <v>489</v>
      </c>
      <c r="L54" s="43"/>
      <c r="M54" s="43"/>
    </row>
    <row r="55" spans="1:13" ht="15" customHeight="1" x14ac:dyDescent="0.25">
      <c r="H55" s="3">
        <v>0</v>
      </c>
      <c r="I55" s="3">
        <v>95000</v>
      </c>
      <c r="M55" s="43"/>
    </row>
    <row r="56" spans="1:13" ht="15" customHeight="1" x14ac:dyDescent="0.25">
      <c r="A56" s="9"/>
      <c r="H56">
        <f ca="1">COUNTA($B$47:$B$52)</f>
        <v>6</v>
      </c>
      <c r="I56" s="3">
        <v>95000</v>
      </c>
      <c r="M56" s="43"/>
    </row>
    <row r="57" spans="1:13" ht="15" customHeight="1" x14ac:dyDescent="0.25">
      <c r="A57" s="9"/>
      <c r="M57" s="43"/>
    </row>
    <row r="58" spans="1:13" ht="15" customHeight="1" x14ac:dyDescent="0.25">
      <c r="A58" s="9"/>
      <c r="H58" s="55">
        <v>0</v>
      </c>
      <c r="I58" s="3">
        <v>110000</v>
      </c>
      <c r="M58" s="43"/>
    </row>
    <row r="59" spans="1:13" ht="15" customHeight="1" x14ac:dyDescent="0.25">
      <c r="A59" s="9"/>
      <c r="H59">
        <f ca="1">COUNTA($B$47:$B$52)</f>
        <v>6</v>
      </c>
      <c r="I59" s="3">
        <v>110000</v>
      </c>
      <c r="M59" s="43"/>
    </row>
    <row r="60" spans="1:13" ht="15" customHeight="1" x14ac:dyDescent="0.25">
      <c r="A60" s="9"/>
      <c r="L60" s="43"/>
      <c r="M60" s="43"/>
    </row>
    <row r="61" spans="1:13" ht="15" customHeight="1" x14ac:dyDescent="0.25">
      <c r="A61" s="9"/>
      <c r="L61" s="43"/>
      <c r="M61" s="43"/>
    </row>
    <row r="62" spans="1:13" ht="15" customHeight="1" x14ac:dyDescent="0.25">
      <c r="A62" s="9"/>
      <c r="L62" s="43"/>
      <c r="M62" s="43"/>
    </row>
    <row r="63" spans="1:13" ht="15" customHeight="1" x14ac:dyDescent="0.25">
      <c r="A63" s="9"/>
      <c r="L63" s="43"/>
      <c r="M63" s="43"/>
    </row>
    <row r="64" spans="1:13" ht="15" customHeight="1" x14ac:dyDescent="0.25">
      <c r="A64" s="9"/>
      <c r="L64" s="43"/>
      <c r="M64" s="43"/>
    </row>
    <row r="65" spans="1:13" ht="15" customHeight="1" x14ac:dyDescent="0.25">
      <c r="A65" s="9"/>
      <c r="L65" s="43"/>
      <c r="M65" s="43"/>
    </row>
    <row r="66" spans="1:13" ht="15.75" customHeight="1" x14ac:dyDescent="0.25">
      <c r="A66" s="9"/>
    </row>
    <row r="67" spans="1:13" ht="15.75" customHeight="1" x14ac:dyDescent="0.25">
      <c r="A67" s="9"/>
    </row>
    <row r="68" spans="1:13" ht="15.75" customHeight="1" x14ac:dyDescent="0.25">
      <c r="A68" s="9"/>
    </row>
    <row r="69" spans="1:13" ht="15" customHeight="1" x14ac:dyDescent="0.25">
      <c r="A69" s="9"/>
    </row>
    <row r="70" spans="1:13" ht="15" customHeight="1" x14ac:dyDescent="0.25">
      <c r="A70" s="9"/>
    </row>
    <row r="71" spans="1:13" ht="15" customHeight="1" x14ac:dyDescent="0.25">
      <c r="A71" s="9"/>
    </row>
    <row r="72" spans="1:13" ht="15" customHeight="1" x14ac:dyDescent="0.25">
      <c r="A72" s="9"/>
    </row>
    <row r="73" spans="1:13" ht="15" customHeight="1" x14ac:dyDescent="0.25">
      <c r="A73" s="9"/>
    </row>
    <row r="74" spans="1:13" ht="15" customHeight="1" x14ac:dyDescent="0.25">
      <c r="A74" s="9"/>
    </row>
    <row r="75" spans="1:13" ht="15" customHeight="1" x14ac:dyDescent="0.25">
      <c r="A75" s="9"/>
    </row>
    <row r="76" spans="1:13" ht="15" customHeight="1" x14ac:dyDescent="0.25">
      <c r="A76" s="9"/>
    </row>
    <row r="77" spans="1:13" ht="15" customHeight="1" x14ac:dyDescent="0.25">
      <c r="A77" s="9"/>
    </row>
    <row r="78" spans="1:13" ht="15" customHeight="1" x14ac:dyDescent="0.25">
      <c r="A78" s="9"/>
    </row>
    <row r="79" spans="1:13" ht="15" customHeight="1" x14ac:dyDescent="0.25">
      <c r="A79" s="73" t="s">
        <v>38</v>
      </c>
    </row>
  </sheetData>
  <printOptions headings="1" gridLines="1"/>
  <pageMargins left="0.70866141732283472" right="0.70866141732283472" top="0.74803149606299213" bottom="0.74803149606299213" header="0" footer="0"/>
  <pageSetup paperSize="9" scale="70" fitToHeight="0" orientation="landscape" r:id="rId1"/>
  <headerFooter>
    <oddHeader>&amp;R&amp;F  &amp;A</oddHeader>
    <oddFooter>&amp;L© 2016&amp;CPage &amp;P of</oddFooter>
  </headerFooter>
  <rowBreaks count="1" manualBreakCount="1">
    <brk id="37" max="10" man="1"/>
  </rowBreaks>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theme="7" tint="-0.249977111117893"/>
    <pageSetUpPr fitToPage="1"/>
  </sheetPr>
  <dimension ref="A1:K42"/>
  <sheetViews>
    <sheetView zoomScaleNormal="100" zoomScaleSheetLayoutView="85" workbookViewId="0">
      <pane xSplit="2" ySplit="3" topLeftCell="G4" activePane="bottomRight" state="frozen"/>
      <selection pane="topRight"/>
      <selection pane="bottomLeft"/>
      <selection pane="bottomRight" activeCell="G4" sqref="G4"/>
    </sheetView>
  </sheetViews>
  <sheetFormatPr defaultColWidth="12.5703125" defaultRowHeight="15" customHeight="1" outlineLevelCol="1" x14ac:dyDescent="0.25"/>
  <cols>
    <col min="1" max="1" width="1.5703125" customWidth="1"/>
    <col min="2" max="2" width="40.5703125" customWidth="1"/>
    <col min="3" max="6" width="10.28515625" hidden="1" customWidth="1" outlineLevel="1"/>
    <col min="7" max="7" width="10.28515625" customWidth="1" collapsed="1"/>
    <col min="8" max="11" width="10.28515625" customWidth="1"/>
  </cols>
  <sheetData>
    <row r="1" spans="1:11" ht="30" customHeight="1" x14ac:dyDescent="0.45">
      <c r="A1" s="180" t="str">
        <f>"Synergy valuation for "&amp;Info!N5</f>
        <v>Synergy valuation for Red Bull</v>
      </c>
      <c r="B1" s="72"/>
      <c r="C1" s="72"/>
      <c r="D1" s="72"/>
      <c r="E1" s="72"/>
      <c r="F1" s="72"/>
      <c r="G1" s="72"/>
      <c r="H1" s="72"/>
      <c r="I1" s="72"/>
      <c r="J1" s="72"/>
      <c r="K1" s="72"/>
    </row>
    <row r="2" spans="1:11" ht="15" customHeight="1" x14ac:dyDescent="0.25">
      <c r="A2" s="254"/>
      <c r="B2" s="254"/>
      <c r="C2" s="254" t="str">
        <f>'Red Bull Model'!C2</f>
        <v>Actual</v>
      </c>
      <c r="D2" s="254" t="str">
        <f>'Red Bull Model'!D2</f>
        <v>Actual</v>
      </c>
      <c r="E2" s="254" t="str">
        <f>'Red Bull Model'!E2</f>
        <v>Actual</v>
      </c>
      <c r="F2" s="254" t="str">
        <f>'Red Bull Model'!F2</f>
        <v>Actual</v>
      </c>
      <c r="G2" s="254" t="str">
        <f>'Red Bull Model'!G2</f>
        <v>Actual / Est.</v>
      </c>
      <c r="H2" s="254" t="str">
        <f>'Red Bull Model'!H2</f>
        <v>Actual / Est.</v>
      </c>
      <c r="I2" s="254" t="str">
        <f>'Red Bull Model'!I2</f>
        <v>Projected</v>
      </c>
      <c r="J2" s="254" t="str">
        <f>'Red Bull Model'!J2</f>
        <v>Projected</v>
      </c>
      <c r="K2" s="254" t="str">
        <f>'Red Bull Model'!K2</f>
        <v>Projected</v>
      </c>
    </row>
    <row r="3" spans="1:11" ht="15" customHeight="1" x14ac:dyDescent="0.25">
      <c r="A3" s="254"/>
      <c r="B3" s="254"/>
      <c r="C3" s="255">
        <f>'Red Bull Model'!C3</f>
        <v>44196</v>
      </c>
      <c r="D3" s="255">
        <f t="shared" ref="D3:I3" si="0">EDATE(C3,12)</f>
        <v>44561</v>
      </c>
      <c r="E3" s="255">
        <f t="shared" si="0"/>
        <v>44926</v>
      </c>
      <c r="F3" s="255">
        <f t="shared" si="0"/>
        <v>45291</v>
      </c>
      <c r="G3" s="255">
        <f t="shared" si="0"/>
        <v>45657</v>
      </c>
      <c r="H3" s="255">
        <f t="shared" si="0"/>
        <v>46022</v>
      </c>
      <c r="I3" s="255">
        <f t="shared" si="0"/>
        <v>46387</v>
      </c>
      <c r="J3" s="255">
        <f t="shared" ref="J3" si="1">EDATE(I3,12)</f>
        <v>46752</v>
      </c>
      <c r="K3" s="255">
        <f t="shared" ref="K3" si="2">EDATE(J3,12)</f>
        <v>47118</v>
      </c>
    </row>
    <row r="4" spans="1:11" ht="15" customHeight="1" x14ac:dyDescent="0.25">
      <c r="A4" t="s">
        <v>41</v>
      </c>
      <c r="C4" s="43"/>
      <c r="D4" s="43"/>
      <c r="E4" s="43"/>
      <c r="F4" s="43"/>
      <c r="G4" s="43"/>
      <c r="H4" s="43"/>
      <c r="I4" s="43"/>
      <c r="J4" s="43"/>
      <c r="K4" s="43"/>
    </row>
    <row r="5" spans="1:11" ht="15" customHeight="1" x14ac:dyDescent="0.25">
      <c r="A5" s="73"/>
      <c r="C5" s="43"/>
      <c r="D5" s="43"/>
      <c r="E5" s="43"/>
      <c r="F5" s="43"/>
      <c r="G5" s="43"/>
      <c r="H5" s="43"/>
      <c r="I5" s="43"/>
      <c r="J5" s="43"/>
      <c r="K5" s="43"/>
    </row>
    <row r="6" spans="1:11" ht="15" customHeight="1" x14ac:dyDescent="0.25">
      <c r="A6" s="73"/>
      <c r="B6" t="s">
        <v>55</v>
      </c>
      <c r="C6" s="43"/>
      <c r="D6" s="43"/>
      <c r="H6" s="237">
        <f>'Red Bull Model'!H20</f>
        <v>0.23</v>
      </c>
      <c r="K6" s="43"/>
    </row>
    <row r="7" spans="1:11" ht="15" customHeight="1" x14ac:dyDescent="0.25">
      <c r="A7" s="73"/>
      <c r="B7" t="s">
        <v>328</v>
      </c>
      <c r="C7" s="43"/>
      <c r="D7" s="43"/>
      <c r="H7" s="237">
        <f ca="1">WACC!D31</f>
        <v>5.5612558610683829E-2</v>
      </c>
      <c r="K7" s="43"/>
    </row>
    <row r="8" spans="1:11" ht="15" customHeight="1" x14ac:dyDescent="0.25">
      <c r="A8" s="73"/>
      <c r="C8" s="43"/>
      <c r="D8" s="43"/>
      <c r="H8" s="43"/>
      <c r="I8" s="43"/>
      <c r="K8" s="43"/>
    </row>
    <row r="9" spans="1:11" ht="15" customHeight="1" x14ac:dyDescent="0.25">
      <c r="A9" s="73"/>
      <c r="B9" t="s">
        <v>457</v>
      </c>
      <c r="C9" s="43"/>
      <c r="D9" s="43"/>
      <c r="H9" s="230">
        <f>'Red Bull Model'!H54</f>
        <v>12196</v>
      </c>
      <c r="K9" s="43"/>
    </row>
    <row r="10" spans="1:11" ht="15" customHeight="1" x14ac:dyDescent="0.25">
      <c r="A10" s="73"/>
      <c r="B10" t="s">
        <v>458</v>
      </c>
      <c r="C10" s="43"/>
      <c r="D10" s="43"/>
      <c r="H10" s="234">
        <f>AVERAGE(Transaction_comps!N7:N26)</f>
        <v>8.1677490383670046E-2</v>
      </c>
      <c r="K10" s="43"/>
    </row>
    <row r="11" spans="1:11" ht="15" customHeight="1" x14ac:dyDescent="0.25">
      <c r="A11" s="73"/>
      <c r="C11" s="43"/>
      <c r="D11" s="43"/>
      <c r="H11" s="43"/>
      <c r="I11" s="43"/>
      <c r="K11" s="43"/>
    </row>
    <row r="12" spans="1:11" ht="15" customHeight="1" x14ac:dyDescent="0.25">
      <c r="A12" s="73" t="s">
        <v>459</v>
      </c>
      <c r="C12" s="43"/>
      <c r="D12" s="43"/>
      <c r="H12" s="43"/>
      <c r="I12" s="43"/>
      <c r="J12" s="43"/>
      <c r="K12" s="43"/>
    </row>
    <row r="13" spans="1:11" ht="15" customHeight="1" x14ac:dyDescent="0.25">
      <c r="A13" s="73"/>
      <c r="B13" t="s">
        <v>460</v>
      </c>
      <c r="C13" s="43"/>
      <c r="D13" s="43"/>
      <c r="H13" s="43"/>
      <c r="I13">
        <f>$H$10*$H$9</f>
        <v>996.13867271923982</v>
      </c>
      <c r="J13">
        <f>$H$10*$H$9</f>
        <v>996.13867271923982</v>
      </c>
      <c r="K13">
        <f>$H$10*$H$9</f>
        <v>996.13867271923982</v>
      </c>
    </row>
    <row r="14" spans="1:11" ht="15" customHeight="1" x14ac:dyDescent="0.25">
      <c r="A14" s="73"/>
      <c r="B14" t="s">
        <v>461</v>
      </c>
      <c r="C14" s="43"/>
      <c r="D14" s="43"/>
      <c r="H14" s="43"/>
      <c r="I14" s="60">
        <v>0.2</v>
      </c>
      <c r="J14" s="60">
        <v>0.5</v>
      </c>
      <c r="K14" s="60">
        <v>1</v>
      </c>
    </row>
    <row r="15" spans="1:11" ht="15" customHeight="1" x14ac:dyDescent="0.25">
      <c r="A15" s="73"/>
      <c r="B15" t="s">
        <v>462</v>
      </c>
      <c r="C15" s="43"/>
      <c r="D15" s="43"/>
      <c r="H15" s="43"/>
      <c r="I15">
        <f>I14*I13</f>
        <v>199.22773454384799</v>
      </c>
      <c r="J15">
        <f t="shared" ref="J15:K15" si="3">J14*J13</f>
        <v>498.06933635961991</v>
      </c>
      <c r="K15">
        <f t="shared" si="3"/>
        <v>996.13867271923982</v>
      </c>
    </row>
    <row r="16" spans="1:11" ht="15" customHeight="1" x14ac:dyDescent="0.25">
      <c r="A16" s="73"/>
      <c r="B16" t="s">
        <v>463</v>
      </c>
      <c r="C16" s="43"/>
      <c r="D16" s="43"/>
      <c r="H16" s="43"/>
      <c r="I16">
        <f>I15*(1-$H$6)</f>
        <v>153.40535559876295</v>
      </c>
      <c r="J16">
        <f>J15*(1-$H$6)</f>
        <v>383.51338899690734</v>
      </c>
      <c r="K16">
        <f>K15*(1-$H$6)</f>
        <v>767.02677799381468</v>
      </c>
    </row>
    <row r="17" spans="1:11" ht="15" customHeight="1" x14ac:dyDescent="0.25">
      <c r="A17" s="73"/>
      <c r="B17" t="s">
        <v>464</v>
      </c>
      <c r="C17" s="43"/>
      <c r="D17" s="43"/>
      <c r="H17" s="238">
        <f ca="1">H7</f>
        <v>5.5612558610683829E-2</v>
      </c>
      <c r="J17" s="43"/>
      <c r="K17" s="43"/>
    </row>
    <row r="18" spans="1:11" ht="15" customHeight="1" x14ac:dyDescent="0.25">
      <c r="A18" s="73"/>
      <c r="B18" t="s">
        <v>465</v>
      </c>
      <c r="C18" s="43"/>
      <c r="D18" s="43"/>
      <c r="H18" s="57">
        <v>0.02</v>
      </c>
      <c r="I18" s="43"/>
      <c r="J18" s="43"/>
      <c r="K18" s="43"/>
    </row>
    <row r="19" spans="1:11" ht="15" customHeight="1" x14ac:dyDescent="0.25">
      <c r="A19" s="73"/>
      <c r="B19" t="s">
        <v>326</v>
      </c>
      <c r="C19" s="43"/>
      <c r="D19" s="43"/>
      <c r="I19" s="43"/>
      <c r="J19" s="43"/>
      <c r="K19">
        <f ca="1">K16*(1+H18)/(H17-H18)</f>
        <v>21968.859977361455</v>
      </c>
    </row>
    <row r="20" spans="1:11" ht="15" customHeight="1" x14ac:dyDescent="0.25">
      <c r="A20" s="73"/>
      <c r="C20" s="43"/>
      <c r="D20" s="43"/>
      <c r="H20" s="43"/>
      <c r="I20" s="43"/>
      <c r="J20" s="43"/>
      <c r="K20" s="43"/>
    </row>
    <row r="21" spans="1:11" ht="15" customHeight="1" x14ac:dyDescent="0.25">
      <c r="A21" s="73"/>
      <c r="B21" t="s">
        <v>332</v>
      </c>
      <c r="C21" s="43"/>
      <c r="D21" s="43"/>
      <c r="H21" s="43"/>
      <c r="I21" s="55">
        <v>0.5</v>
      </c>
      <c r="J21">
        <f>I21+1</f>
        <v>1.5</v>
      </c>
      <c r="K21">
        <f>J21+1</f>
        <v>2.5</v>
      </c>
    </row>
    <row r="22" spans="1:11" ht="15" customHeight="1" x14ac:dyDescent="0.25">
      <c r="A22" s="73"/>
      <c r="B22" t="s">
        <v>333</v>
      </c>
      <c r="C22" s="43"/>
      <c r="D22" s="43"/>
      <c r="H22" s="117"/>
      <c r="I22" s="63">
        <f ca="1">1/(1+$H$17)^I21</f>
        <v>0.97330224657018494</v>
      </c>
      <c r="J22" s="63">
        <f ca="1">1/(1+$H$17)^J21</f>
        <v>0.92202602046642057</v>
      </c>
      <c r="K22" s="63">
        <f ca="1">1/(1+$H$17)^K21</f>
        <v>0.87345116628767683</v>
      </c>
    </row>
    <row r="23" spans="1:11" ht="15" customHeight="1" x14ac:dyDescent="0.25">
      <c r="A23" s="73"/>
      <c r="B23" t="s">
        <v>466</v>
      </c>
      <c r="C23" s="43"/>
      <c r="D23" s="43"/>
      <c r="I23">
        <f ca="1">I22*I16</f>
        <v>149.30977724017407</v>
      </c>
      <c r="J23">
        <f t="shared" ref="J23:K23" ca="1" si="4">J22*J16</f>
        <v>353.60932385240881</v>
      </c>
      <c r="K23">
        <f t="shared" ca="1" si="4"/>
        <v>669.96043381257641</v>
      </c>
    </row>
    <row r="24" spans="1:11" ht="15" customHeight="1" x14ac:dyDescent="0.25">
      <c r="A24" s="73"/>
      <c r="B24" t="s">
        <v>467</v>
      </c>
      <c r="C24" s="43"/>
      <c r="D24" s="43"/>
      <c r="H24">
        <f ca="1">SUM(I23:K23)</f>
        <v>1172.8795349051593</v>
      </c>
      <c r="J24" s="43"/>
      <c r="K24" s="43"/>
    </row>
    <row r="25" spans="1:11" ht="15" customHeight="1" x14ac:dyDescent="0.25">
      <c r="A25" s="73"/>
      <c r="B25" t="s">
        <v>336</v>
      </c>
      <c r="C25" s="43"/>
      <c r="D25" s="43"/>
      <c r="H25">
        <f ca="1">K19*K22</f>
        <v>19188.726369237029</v>
      </c>
      <c r="J25" s="43"/>
      <c r="K25" s="43"/>
    </row>
    <row r="26" spans="1:11" ht="15" customHeight="1" x14ac:dyDescent="0.25">
      <c r="A26" s="73"/>
      <c r="B26" t="s">
        <v>468</v>
      </c>
      <c r="C26" s="43"/>
      <c r="D26" s="43"/>
      <c r="H26">
        <f ca="1">SUM(H24:H25)</f>
        <v>20361.605904142187</v>
      </c>
      <c r="J26" s="43"/>
      <c r="K26" s="43"/>
    </row>
    <row r="27" spans="1:11" ht="15" customHeight="1" x14ac:dyDescent="0.25">
      <c r="A27" s="73"/>
      <c r="C27" s="43"/>
      <c r="D27" s="43"/>
      <c r="F27" s="43"/>
      <c r="G27" s="43"/>
      <c r="H27" s="43"/>
      <c r="I27" s="43"/>
      <c r="J27" s="43"/>
      <c r="K27" s="43"/>
    </row>
    <row r="28" spans="1:11" ht="15" customHeight="1" x14ac:dyDescent="0.25">
      <c r="A28" s="73" t="s">
        <v>38</v>
      </c>
      <c r="C28" s="43"/>
      <c r="D28" s="43"/>
      <c r="E28" s="43"/>
      <c r="F28" s="43"/>
      <c r="G28" s="43"/>
      <c r="H28" s="43"/>
      <c r="I28" s="43"/>
      <c r="J28" s="43"/>
      <c r="K28" s="43"/>
    </row>
    <row r="29" spans="1:11" ht="15.75" customHeight="1" x14ac:dyDescent="0.25">
      <c r="A29" s="78"/>
    </row>
    <row r="30" spans="1:11" ht="15" customHeight="1" x14ac:dyDescent="0.25">
      <c r="A30" s="78"/>
    </row>
    <row r="31" spans="1:11" ht="15" customHeight="1" x14ac:dyDescent="0.25">
      <c r="A31" s="78"/>
    </row>
    <row r="32" spans="1:11" ht="15" customHeight="1" x14ac:dyDescent="0.25">
      <c r="A32" s="78"/>
    </row>
    <row r="33" spans="1:1" ht="15" customHeight="1" x14ac:dyDescent="0.25">
      <c r="A33" s="78"/>
    </row>
    <row r="34" spans="1:1" ht="15" customHeight="1" x14ac:dyDescent="0.25">
      <c r="A34" s="73"/>
    </row>
    <row r="35" spans="1:1" ht="15" customHeight="1" x14ac:dyDescent="0.25">
      <c r="A35" s="73"/>
    </row>
    <row r="36" spans="1:1" ht="15" customHeight="1" x14ac:dyDescent="0.25">
      <c r="A36" s="73"/>
    </row>
    <row r="37" spans="1:1" ht="15" customHeight="1" x14ac:dyDescent="0.25">
      <c r="A37" s="73"/>
    </row>
    <row r="38" spans="1:1" ht="15" customHeight="1" x14ac:dyDescent="0.25">
      <c r="A38" s="73"/>
    </row>
    <row r="39" spans="1:1" ht="15" customHeight="1" x14ac:dyDescent="0.25">
      <c r="A39" s="73"/>
    </row>
    <row r="40" spans="1:1" ht="15" customHeight="1" x14ac:dyDescent="0.25">
      <c r="A40" s="73"/>
    </row>
    <row r="41" spans="1:1" ht="15" customHeight="1" x14ac:dyDescent="0.25">
      <c r="A41" s="73"/>
    </row>
    <row r="42" spans="1:1" ht="15" customHeight="1" x14ac:dyDescent="0.25">
      <c r="A42" s="73"/>
    </row>
  </sheetData>
  <printOptions gridLines="1"/>
  <pageMargins left="0.70866141732283472" right="0.70866141732283472" top="0.74803149606299213" bottom="0.74803149606299213" header="0" footer="0"/>
  <pageSetup paperSize="9" scale="84" orientation="landscape" r:id="rId1"/>
  <headerFooter>
    <oddHeader>&amp;R&amp;F  &amp;A</oddHeader>
    <oddFooter>&amp;L© 2016&amp;CPage &amp;P of</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theme="7" tint="-0.249977111117893"/>
    <pageSetUpPr fitToPage="1"/>
  </sheetPr>
  <dimension ref="A1:Q182"/>
  <sheetViews>
    <sheetView zoomScaleNormal="100" zoomScaleSheetLayoutView="85" workbookViewId="0">
      <selection activeCell="K34" sqref="K34"/>
    </sheetView>
  </sheetViews>
  <sheetFormatPr defaultColWidth="12.5703125" defaultRowHeight="15" customHeight="1" x14ac:dyDescent="0.25"/>
  <cols>
    <col min="1" max="1" width="1.5703125" customWidth="1"/>
    <col min="2" max="2" width="50.5703125" customWidth="1"/>
    <col min="3" max="4" width="10.7109375" bestFit="1" customWidth="1"/>
    <col min="5" max="16" width="10.28515625" customWidth="1"/>
  </cols>
  <sheetData>
    <row r="1" spans="1:16" ht="30" customHeight="1" x14ac:dyDescent="0.45">
      <c r="A1" s="180" t="str">
        <f>"M&amp;A analysis for "&amp;C6</f>
        <v>M&amp;A analysis for Red Bull</v>
      </c>
      <c r="B1" s="72"/>
      <c r="C1" s="72"/>
      <c r="D1" s="72"/>
      <c r="E1" s="72"/>
      <c r="F1" s="72"/>
      <c r="G1" s="72"/>
      <c r="H1" s="72"/>
      <c r="I1" s="72"/>
      <c r="J1" s="72"/>
      <c r="K1" s="72"/>
      <c r="L1" s="72"/>
      <c r="M1" s="72"/>
      <c r="N1" s="72"/>
      <c r="O1" s="72"/>
      <c r="P1" s="72"/>
    </row>
    <row r="2" spans="1:16" ht="15" customHeight="1" x14ac:dyDescent="0.25">
      <c r="A2" s="4" t="s">
        <v>345</v>
      </c>
    </row>
    <row r="3" spans="1:16" ht="15" customHeight="1" x14ac:dyDescent="0.25">
      <c r="A3" s="10"/>
    </row>
    <row r="4" spans="1:16" ht="15" customHeight="1" x14ac:dyDescent="0.25">
      <c r="A4" s="10" t="s">
        <v>4</v>
      </c>
    </row>
    <row r="5" spans="1:16" ht="15" customHeight="1" x14ac:dyDescent="0.25">
      <c r="A5" s="10"/>
      <c r="B5" t="s">
        <v>369</v>
      </c>
      <c r="J5" t="s">
        <v>364</v>
      </c>
    </row>
    <row r="6" spans="1:16" ht="15" customHeight="1" x14ac:dyDescent="0.25">
      <c r="A6" s="10"/>
      <c r="B6" t="s">
        <v>1</v>
      </c>
      <c r="C6" t="s">
        <v>2</v>
      </c>
      <c r="J6" t="s">
        <v>1</v>
      </c>
      <c r="M6" s="230" t="str">
        <f>'1'!COMPANY_NAME</f>
        <v>Coca-Cola Company</v>
      </c>
    </row>
    <row r="7" spans="1:16" ht="15" customHeight="1" x14ac:dyDescent="0.25">
      <c r="A7" s="10"/>
      <c r="J7" t="s">
        <v>491</v>
      </c>
      <c r="M7" s="230">
        <f>'1'!C16</f>
        <v>79.84</v>
      </c>
    </row>
    <row r="8" spans="1:16" ht="15" customHeight="1" x14ac:dyDescent="0.25">
      <c r="A8" s="10"/>
      <c r="B8" t="s">
        <v>492</v>
      </c>
      <c r="C8" s="48">
        <v>1.1803999999999999</v>
      </c>
      <c r="J8" t="s">
        <v>493</v>
      </c>
      <c r="M8" s="230">
        <f>'1'!C15</f>
        <v>1</v>
      </c>
    </row>
    <row r="9" spans="1:16" ht="15" customHeight="1" x14ac:dyDescent="0.25">
      <c r="A9" s="10"/>
      <c r="J9" t="s">
        <v>494</v>
      </c>
      <c r="M9" s="230">
        <f>M7/M8</f>
        <v>79.84</v>
      </c>
    </row>
    <row r="10" spans="1:16" ht="15" customHeight="1" x14ac:dyDescent="0.25">
      <c r="A10" s="10"/>
      <c r="B10" t="s">
        <v>55</v>
      </c>
      <c r="C10" s="234">
        <f>'Red Bull Model'!G20</f>
        <v>0.23</v>
      </c>
      <c r="J10" t="str">
        <f>B10</f>
        <v>Marginal tax rate</v>
      </c>
      <c r="M10" s="234">
        <f>'1'!COMP_MTR</f>
        <v>0.223</v>
      </c>
    </row>
    <row r="11" spans="1:16" ht="15" customHeight="1" x14ac:dyDescent="0.25">
      <c r="A11" s="10"/>
    </row>
    <row r="12" spans="1:16" ht="15" customHeight="1" x14ac:dyDescent="0.25">
      <c r="A12" s="10"/>
      <c r="B12" t="s">
        <v>495</v>
      </c>
      <c r="C12" s="59">
        <v>25</v>
      </c>
      <c r="J12" t="s">
        <v>199</v>
      </c>
      <c r="M12" s="230">
        <f>'1'!DSO</f>
        <v>4316.0291191001998</v>
      </c>
    </row>
    <row r="13" spans="1:16" ht="15" customHeight="1" x14ac:dyDescent="0.25">
      <c r="A13" s="10"/>
      <c r="B13" t="s">
        <v>250</v>
      </c>
      <c r="C13" s="230">
        <f>'Red Bull Model'!F60*FX</f>
        <v>3699.4316552826858</v>
      </c>
      <c r="J13" t="s">
        <v>202</v>
      </c>
      <c r="M13" s="230">
        <f>'1'!D36</f>
        <v>344591.76486895996</v>
      </c>
    </row>
    <row r="14" spans="1:16" ht="15" customHeight="1" x14ac:dyDescent="0.25">
      <c r="A14" s="10"/>
      <c r="B14" t="s">
        <v>496</v>
      </c>
      <c r="C14" s="230">
        <f>('Red Bull Model'!F88+'Red Bull Model'!F84)*FX</f>
        <v>559.03743999999995</v>
      </c>
      <c r="J14" t="s">
        <v>496</v>
      </c>
      <c r="M14" s="230">
        <f>'1'!G31+'1'!G32+'1'!G33</f>
        <v>45492</v>
      </c>
    </row>
    <row r="15" spans="1:16" ht="15" customHeight="1" x14ac:dyDescent="0.25">
      <c r="A15" s="10"/>
      <c r="B15" t="s">
        <v>91</v>
      </c>
      <c r="C15" s="230">
        <f>'Red Bull Model'!F74*FX</f>
        <v>705.99723999999992</v>
      </c>
      <c r="J15" t="s">
        <v>91</v>
      </c>
      <c r="M15" s="230">
        <f>('1'!J31+'1'!J32)</f>
        <v>15806</v>
      </c>
    </row>
    <row r="16" spans="1:16" ht="15" customHeight="1" x14ac:dyDescent="0.25">
      <c r="A16" s="10"/>
      <c r="B16" t="s">
        <v>93</v>
      </c>
      <c r="C16" s="230">
        <f>'Red Bull Model'!F81*FX</f>
        <v>1423.3263199999999</v>
      </c>
      <c r="J16" t="s">
        <v>191</v>
      </c>
      <c r="M16" s="230">
        <f>('1'!G35-'1'!J34-'1'!J33)*-1</f>
        <v>18129</v>
      </c>
    </row>
    <row r="17" spans="1:16" ht="15" customHeight="1" x14ac:dyDescent="0.25">
      <c r="A17" s="10"/>
      <c r="B17" t="s">
        <v>497</v>
      </c>
      <c r="C17">
        <f>C13*C12</f>
        <v>92485.791382067138</v>
      </c>
      <c r="J17" t="s">
        <v>498</v>
      </c>
      <c r="M17" s="230">
        <f>SUM(M13:M14)-SUM(M15:M16)</f>
        <v>356148.76486895996</v>
      </c>
    </row>
    <row r="18" spans="1:16" ht="15" customHeight="1" x14ac:dyDescent="0.25">
      <c r="A18" s="10"/>
    </row>
    <row r="19" spans="1:16" ht="15" customHeight="1" x14ac:dyDescent="0.25">
      <c r="A19" s="10" t="s">
        <v>499</v>
      </c>
    </row>
    <row r="20" spans="1:16" ht="15" customHeight="1" x14ac:dyDescent="0.25">
      <c r="A20" s="10"/>
      <c r="B20" t="s">
        <v>3</v>
      </c>
      <c r="C20" s="79" t="s">
        <v>132</v>
      </c>
      <c r="D20" s="79" t="s">
        <v>471</v>
      </c>
      <c r="E20" s="79" t="s">
        <v>472</v>
      </c>
      <c r="F20" s="79" t="s">
        <v>500</v>
      </c>
      <c r="J20" t="s">
        <v>3</v>
      </c>
      <c r="M20" s="79" t="str">
        <f>C20</f>
        <v>LTM</v>
      </c>
      <c r="N20" s="233" t="str">
        <f>D20</f>
        <v>CY1</v>
      </c>
      <c r="O20" s="233" t="str">
        <f>E20</f>
        <v>CY2</v>
      </c>
      <c r="P20" s="233" t="str">
        <f>F20</f>
        <v>CY3</v>
      </c>
    </row>
    <row r="21" spans="1:16" ht="15" customHeight="1" x14ac:dyDescent="0.25">
      <c r="A21" s="10"/>
      <c r="B21" t="s">
        <v>75</v>
      </c>
      <c r="C21" s="230">
        <f>'Red Bull Model'!H54*FX</f>
        <v>14396.158399999998</v>
      </c>
      <c r="D21" s="230">
        <f>'Red Bull Model'!I54*FX</f>
        <v>15643.186270686781</v>
      </c>
      <c r="E21" s="230">
        <f>'Red Bull Model'!J54*FX</f>
        <v>16940.409680593333</v>
      </c>
      <c r="F21" s="230">
        <f>'Red Bull Model'!K54*FX</f>
        <v>18244.41084824242</v>
      </c>
      <c r="J21" t="s">
        <v>75</v>
      </c>
      <c r="M21">
        <f>'1'!H44</f>
        <v>48062</v>
      </c>
      <c r="N21" s="230">
        <f>'1'!I44</f>
        <v>49005</v>
      </c>
      <c r="O21" s="230">
        <f>'1'!J44</f>
        <v>49824.7</v>
      </c>
      <c r="P21" s="230">
        <f>'1'!K44</f>
        <v>52528.6</v>
      </c>
    </row>
    <row r="22" spans="1:16" ht="15" customHeight="1" x14ac:dyDescent="0.25">
      <c r="A22" s="10"/>
      <c r="B22" t="s">
        <v>18</v>
      </c>
      <c r="C22" s="230">
        <f>'Red Bull Model'!H60*FX</f>
        <v>4385.9746416415392</v>
      </c>
      <c r="D22" s="230">
        <f>'Red Bull Model'!I60*FX</f>
        <v>4927.6036752663358</v>
      </c>
      <c r="E22" s="230">
        <f>'Red Bull Model'!J60*FX</f>
        <v>5505.6331461928339</v>
      </c>
      <c r="F22" s="230">
        <f>'Red Bull Model'!K60*FX</f>
        <v>6093.6332233129679</v>
      </c>
      <c r="J22" t="s">
        <v>18</v>
      </c>
      <c r="M22">
        <f>'1'!H55</f>
        <v>16063</v>
      </c>
      <c r="N22" s="230">
        <f>'1'!I55</f>
        <v>17272.8</v>
      </c>
      <c r="O22" s="230">
        <f>'1'!J55</f>
        <v>18252.099999999999</v>
      </c>
      <c r="P22" s="230">
        <f>'1'!K55</f>
        <v>19728.3</v>
      </c>
    </row>
    <row r="23" spans="1:16" ht="15" customHeight="1" x14ac:dyDescent="0.25">
      <c r="A23" s="10"/>
      <c r="B23" t="s">
        <v>17</v>
      </c>
      <c r="C23" s="230">
        <f>'Red Bull Model'!H63*FX</f>
        <v>3799.5360570655394</v>
      </c>
      <c r="D23" s="230">
        <f>'Red Bull Model'!I63*FX</f>
        <v>4274.4400589642555</v>
      </c>
      <c r="E23" s="230">
        <f>'Red Bull Model'!J63*FX</f>
        <v>4782.6721113729682</v>
      </c>
      <c r="F23" s="230">
        <f>'Red Bull Model'!K63*FX</f>
        <v>5315.0236463790261</v>
      </c>
      <c r="J23" t="s">
        <v>17</v>
      </c>
      <c r="M23">
        <f>'1'!G53</f>
        <v>15013</v>
      </c>
      <c r="N23" s="230">
        <f>'1'!H53</f>
        <v>15013</v>
      </c>
      <c r="O23" s="230">
        <f>'1'!I53</f>
        <v>16172.8</v>
      </c>
      <c r="P23" s="230">
        <f>'1'!J53</f>
        <v>17152.099999999999</v>
      </c>
    </row>
    <row r="24" spans="1:16" ht="15" customHeight="1" x14ac:dyDescent="0.25">
      <c r="A24" s="10"/>
      <c r="B24" t="s">
        <v>72</v>
      </c>
      <c r="C24" s="230">
        <f ca="1">'Red Bull Model'!H71*FX</f>
        <v>2847.9697874846329</v>
      </c>
      <c r="D24" s="230">
        <f ca="1">'Red Bull Model'!I71*FX</f>
        <v>3209.789039081792</v>
      </c>
      <c r="E24" s="230">
        <f ca="1">'Red Bull Model'!J71*FX</f>
        <v>3584.2879569783736</v>
      </c>
      <c r="F24" s="230">
        <f ca="1">'Red Bull Model'!K71*FX</f>
        <v>3989.9529778961428</v>
      </c>
      <c r="J24" t="s">
        <v>159</v>
      </c>
      <c r="M24" s="74"/>
      <c r="N24" s="232">
        <f>'1'!I56</f>
        <v>3.23</v>
      </c>
      <c r="O24" s="232">
        <f>'1'!J56</f>
        <v>3.46</v>
      </c>
      <c r="P24" s="232">
        <f>'1'!K56</f>
        <v>3.7</v>
      </c>
    </row>
    <row r="25" spans="1:16" ht="15" customHeight="1" x14ac:dyDescent="0.25">
      <c r="A25" s="10"/>
    </row>
    <row r="26" spans="1:16" ht="15" customHeight="1" x14ac:dyDescent="0.25">
      <c r="A26" s="10" t="s">
        <v>501</v>
      </c>
    </row>
    <row r="27" spans="1:16" ht="15" customHeight="1" x14ac:dyDescent="0.25">
      <c r="A27" s="10"/>
      <c r="B27" t="s">
        <v>502</v>
      </c>
      <c r="C27" s="44">
        <v>0.01</v>
      </c>
    </row>
    <row r="28" spans="1:16" ht="15" customHeight="1" x14ac:dyDescent="0.25">
      <c r="A28" s="10"/>
      <c r="B28" t="s">
        <v>503</v>
      </c>
      <c r="C28" s="44">
        <v>0.7</v>
      </c>
    </row>
    <row r="29" spans="1:16" ht="15" customHeight="1" x14ac:dyDescent="0.25">
      <c r="A29" s="10"/>
      <c r="B29" t="s">
        <v>359</v>
      </c>
      <c r="C29" s="44">
        <v>0.05</v>
      </c>
    </row>
    <row r="30" spans="1:16" ht="15" customHeight="1" x14ac:dyDescent="0.25">
      <c r="A30" s="10"/>
      <c r="B30" t="s">
        <v>65</v>
      </c>
      <c r="C30" s="76">
        <v>0.03</v>
      </c>
    </row>
    <row r="31" spans="1:16" ht="15" customHeight="1" x14ac:dyDescent="0.25">
      <c r="A31" s="10"/>
      <c r="B31" t="s">
        <v>504</v>
      </c>
      <c r="D31" s="234">
        <f>Synergies!$H$10</f>
        <v>8.1677490383670046E-2</v>
      </c>
      <c r="E31" s="234">
        <f>Synergies!$H$10</f>
        <v>8.1677490383670046E-2</v>
      </c>
      <c r="F31" s="234">
        <f>Synergies!$H$10</f>
        <v>8.1677490383670046E-2</v>
      </c>
    </row>
    <row r="32" spans="1:16" ht="15" customHeight="1" x14ac:dyDescent="0.25">
      <c r="A32" s="10"/>
      <c r="B32" t="s">
        <v>505</v>
      </c>
      <c r="D32" s="234">
        <f>Synergies!I14</f>
        <v>0.2</v>
      </c>
      <c r="E32" s="234">
        <f>Synergies!J14</f>
        <v>0.5</v>
      </c>
      <c r="F32" s="234">
        <f>Synergies!K14</f>
        <v>1</v>
      </c>
    </row>
    <row r="33" spans="1:8" ht="15" customHeight="1" x14ac:dyDescent="0.25">
      <c r="A33" s="10"/>
    </row>
    <row r="34" spans="1:8" ht="15" customHeight="1" x14ac:dyDescent="0.25">
      <c r="A34" s="10" t="s">
        <v>506</v>
      </c>
    </row>
    <row r="35" spans="1:8" ht="15" customHeight="1" x14ac:dyDescent="0.25">
      <c r="A35" s="10"/>
      <c r="B35" t="s">
        <v>507</v>
      </c>
      <c r="C35">
        <f>C17+C15+C16-C14</f>
        <v>94056.077502067128</v>
      </c>
      <c r="F35" t="s">
        <v>508</v>
      </c>
      <c r="H35">
        <f>C28*C35</f>
        <v>65839.254251446982</v>
      </c>
    </row>
    <row r="36" spans="1:8" ht="15" customHeight="1" x14ac:dyDescent="0.25">
      <c r="A36" s="10"/>
      <c r="B36" t="s">
        <v>509</v>
      </c>
      <c r="C36">
        <f>C27*C17</f>
        <v>924.85791382067146</v>
      </c>
      <c r="F36" t="s">
        <v>510</v>
      </c>
      <c r="H36">
        <f>C15</f>
        <v>705.99723999999992</v>
      </c>
    </row>
    <row r="37" spans="1:8" ht="15" customHeight="1" x14ac:dyDescent="0.25">
      <c r="A37" s="10"/>
      <c r="B37" t="s">
        <v>511</v>
      </c>
      <c r="C37">
        <f>C14</f>
        <v>559.03743999999995</v>
      </c>
      <c r="F37" t="s">
        <v>512</v>
      </c>
      <c r="H37">
        <f>C38-H36-H35</f>
        <v>28994.721364440818</v>
      </c>
    </row>
    <row r="38" spans="1:8" ht="15" customHeight="1" x14ac:dyDescent="0.25">
      <c r="A38" s="10"/>
      <c r="B38" t="s">
        <v>513</v>
      </c>
      <c r="C38">
        <f>SUM(C35:C37)</f>
        <v>95539.972855887798</v>
      </c>
      <c r="F38" t="s">
        <v>514</v>
      </c>
      <c r="H38">
        <f>SUM(H35:H37)</f>
        <v>95539.972855887798</v>
      </c>
    </row>
    <row r="39" spans="1:8" ht="15" customHeight="1" x14ac:dyDescent="0.25">
      <c r="A39" s="10"/>
    </row>
    <row r="40" spans="1:8" ht="15" customHeight="1" x14ac:dyDescent="0.25">
      <c r="A40" s="10" t="s">
        <v>515</v>
      </c>
      <c r="C40" s="79" t="s">
        <v>132</v>
      </c>
      <c r="D40" s="79" t="s">
        <v>471</v>
      </c>
      <c r="E40" s="79" t="s">
        <v>472</v>
      </c>
      <c r="F40" s="79" t="s">
        <v>500</v>
      </c>
    </row>
    <row r="41" spans="1:8" ht="15" customHeight="1" x14ac:dyDescent="0.25">
      <c r="A41" s="10"/>
      <c r="B41" t="s">
        <v>516</v>
      </c>
      <c r="C41">
        <f>M22</f>
        <v>16063</v>
      </c>
      <c r="D41">
        <f t="shared" ref="D41:F41" si="0">N22</f>
        <v>17272.8</v>
      </c>
      <c r="E41">
        <f t="shared" si="0"/>
        <v>18252.099999999999</v>
      </c>
      <c r="F41">
        <f t="shared" si="0"/>
        <v>19728.3</v>
      </c>
    </row>
    <row r="42" spans="1:8" ht="15" customHeight="1" x14ac:dyDescent="0.25">
      <c r="A42" s="10"/>
      <c r="B42" t="s">
        <v>517</v>
      </c>
      <c r="C42">
        <f>C22</f>
        <v>4385.9746416415392</v>
      </c>
      <c r="D42">
        <f t="shared" ref="D42:F42" si="1">D22</f>
        <v>4927.6036752663358</v>
      </c>
      <c r="E42">
        <f t="shared" si="1"/>
        <v>5505.6331461928339</v>
      </c>
      <c r="F42">
        <f t="shared" si="1"/>
        <v>6093.6332233129679</v>
      </c>
    </row>
    <row r="43" spans="1:8" ht="15" customHeight="1" x14ac:dyDescent="0.25">
      <c r="A43" s="10"/>
      <c r="B43" t="s">
        <v>376</v>
      </c>
      <c r="D43">
        <f>$D$31*D21*D32</f>
        <v>255.5392392387958</v>
      </c>
      <c r="E43">
        <f t="shared" ref="E43:F43" si="2">$D$31*E21*E32</f>
        <v>691.82507439104643</v>
      </c>
      <c r="F43">
        <f t="shared" si="2"/>
        <v>1490.1576916130457</v>
      </c>
    </row>
    <row r="44" spans="1:8" ht="15" customHeight="1" x14ac:dyDescent="0.25">
      <c r="A44" s="10"/>
      <c r="B44" t="s">
        <v>518</v>
      </c>
      <c r="C44">
        <f>SUM(C41:C43)</f>
        <v>20448.97464164154</v>
      </c>
      <c r="D44">
        <f t="shared" ref="D44:F44" si="3">SUM(D41:D43)</f>
        <v>22455.942914505129</v>
      </c>
      <c r="E44">
        <f t="shared" si="3"/>
        <v>24449.55822058388</v>
      </c>
      <c r="F44">
        <f t="shared" si="3"/>
        <v>27312.090914926015</v>
      </c>
    </row>
    <row r="45" spans="1:8" ht="15.75" customHeight="1" x14ac:dyDescent="0.25">
      <c r="A45" s="10"/>
    </row>
    <row r="46" spans="1:8" ht="15" customHeight="1" x14ac:dyDescent="0.25">
      <c r="A46" s="10"/>
      <c r="B46" t="s">
        <v>519</v>
      </c>
      <c r="D46">
        <f t="shared" ref="D46:F46" si="4">N24*$M$12</f>
        <v>13940.774054693646</v>
      </c>
      <c r="E46">
        <f t="shared" si="4"/>
        <v>14933.46075208669</v>
      </c>
      <c r="F46">
        <f t="shared" si="4"/>
        <v>15969.30774067074</v>
      </c>
    </row>
    <row r="47" spans="1:8" ht="15" customHeight="1" x14ac:dyDescent="0.25">
      <c r="A47" s="10"/>
      <c r="B47" t="s">
        <v>520</v>
      </c>
      <c r="D47">
        <f t="shared" ref="D47:F47" ca="1" si="5">D24</f>
        <v>3209.789039081792</v>
      </c>
      <c r="E47">
        <f t="shared" ca="1" si="5"/>
        <v>3584.2879569783736</v>
      </c>
      <c r="F47">
        <f t="shared" ca="1" si="5"/>
        <v>3989.9529778961428</v>
      </c>
    </row>
    <row r="48" spans="1:8" ht="15" customHeight="1" x14ac:dyDescent="0.25">
      <c r="A48" s="10"/>
      <c r="B48" t="s">
        <v>521</v>
      </c>
      <c r="D48">
        <f t="shared" ref="D48:F48" si="6">D43*(1-$C$10)</f>
        <v>196.76521421387278</v>
      </c>
      <c r="E48">
        <f t="shared" si="6"/>
        <v>532.70530728110577</v>
      </c>
      <c r="F48">
        <f t="shared" si="6"/>
        <v>1147.4214225420453</v>
      </c>
    </row>
    <row r="49" spans="1:13" ht="15" customHeight="1" x14ac:dyDescent="0.25">
      <c r="A49" s="10"/>
      <c r="B49" t="s">
        <v>522</v>
      </c>
      <c r="D49">
        <f>$C$29*$H$37*(1-$M$10)*-1</f>
        <v>-1126.4449250085258</v>
      </c>
      <c r="E49">
        <f>$C$29*$H$37*(1-$M$10)*-1</f>
        <v>-1126.4449250085258</v>
      </c>
      <c r="F49">
        <f>$C$29*$H$37*(1-$M$10)*-1</f>
        <v>-1126.4449250085258</v>
      </c>
    </row>
    <row r="50" spans="1:13" ht="15" customHeight="1" x14ac:dyDescent="0.25">
      <c r="A50" s="10"/>
      <c r="B50" t="s">
        <v>523</v>
      </c>
      <c r="D50">
        <f t="shared" ref="D50:F50" si="7">$C$37*(1-$C$10)*$C$29</f>
        <v>21.52294144</v>
      </c>
      <c r="E50">
        <f t="shared" si="7"/>
        <v>21.52294144</v>
      </c>
      <c r="F50">
        <f t="shared" si="7"/>
        <v>21.52294144</v>
      </c>
    </row>
    <row r="51" spans="1:13" ht="15" customHeight="1" x14ac:dyDescent="0.25">
      <c r="A51" s="10"/>
      <c r="B51" t="s">
        <v>524</v>
      </c>
      <c r="D51">
        <f>$H$36*$C$30*(1-$C$10)*-1</f>
        <v>-16.308536243999999</v>
      </c>
      <c r="E51">
        <f t="shared" ref="E51:F51" si="8">$H$36*$C$30*(1-$C$10)*-1</f>
        <v>-16.308536243999999</v>
      </c>
      <c r="F51">
        <f t="shared" si="8"/>
        <v>-16.308536243999999</v>
      </c>
    </row>
    <row r="52" spans="1:13" ht="15" customHeight="1" x14ac:dyDescent="0.25">
      <c r="A52" s="10"/>
      <c r="B52" t="s">
        <v>525</v>
      </c>
      <c r="D52">
        <f t="shared" ref="D52:F52" ca="1" si="9">SUM(D46:D51)</f>
        <v>16226.097788176787</v>
      </c>
      <c r="E52">
        <f t="shared" ca="1" si="9"/>
        <v>17929.223496533643</v>
      </c>
      <c r="F52">
        <f t="shared" ca="1" si="9"/>
        <v>19985.451621296397</v>
      </c>
    </row>
    <row r="53" spans="1:13" ht="15" customHeight="1" x14ac:dyDescent="0.25">
      <c r="A53" s="10"/>
    </row>
    <row r="54" spans="1:13" ht="15" customHeight="1" x14ac:dyDescent="0.25">
      <c r="A54" s="10"/>
      <c r="B54" t="s">
        <v>526</v>
      </c>
      <c r="D54">
        <f t="shared" ref="D54:F54" si="10">$M$12</f>
        <v>4316.0291191001998</v>
      </c>
      <c r="E54">
        <f t="shared" si="10"/>
        <v>4316.0291191001998</v>
      </c>
      <c r="F54">
        <f t="shared" si="10"/>
        <v>4316.0291191001998</v>
      </c>
    </row>
    <row r="55" spans="1:13" ht="15" customHeight="1" x14ac:dyDescent="0.25">
      <c r="A55" s="10"/>
      <c r="B55" t="s">
        <v>527</v>
      </c>
      <c r="D55">
        <f t="shared" ref="D55:F55" si="11">$H$35/$M$7</f>
        <v>824.6399580592057</v>
      </c>
      <c r="E55">
        <f t="shared" si="11"/>
        <v>824.6399580592057</v>
      </c>
      <c r="F55">
        <f t="shared" si="11"/>
        <v>824.6399580592057</v>
      </c>
    </row>
    <row r="56" spans="1:13" ht="15" customHeight="1" x14ac:dyDescent="0.25">
      <c r="A56" s="10"/>
      <c r="B56" t="s">
        <v>528</v>
      </c>
      <c r="D56">
        <f t="shared" ref="D56:F56" si="12">SUM(D54:D55)</f>
        <v>5140.6690771594058</v>
      </c>
      <c r="E56">
        <f t="shared" si="12"/>
        <v>5140.6690771594058</v>
      </c>
      <c r="F56">
        <f t="shared" si="12"/>
        <v>5140.6690771594058</v>
      </c>
    </row>
    <row r="57" spans="1:13" ht="15" customHeight="1" x14ac:dyDescent="0.25">
      <c r="A57" s="10"/>
    </row>
    <row r="58" spans="1:13" ht="15" customHeight="1" x14ac:dyDescent="0.25">
      <c r="A58" s="10"/>
      <c r="B58" t="s">
        <v>529</v>
      </c>
      <c r="D58" s="74">
        <f>N24</f>
        <v>3.23</v>
      </c>
      <c r="E58" s="74">
        <f>O24</f>
        <v>3.46</v>
      </c>
      <c r="F58" s="74">
        <f>P24</f>
        <v>3.7</v>
      </c>
    </row>
    <row r="59" spans="1:13" ht="15" customHeight="1" x14ac:dyDescent="0.25">
      <c r="A59" s="10"/>
      <c r="B59" t="s">
        <v>530</v>
      </c>
      <c r="D59" s="74">
        <f t="shared" ref="D59" ca="1" si="13">D52/D56</f>
        <v>3.1564174905308024</v>
      </c>
      <c r="E59" s="74">
        <f t="shared" ref="E59:F59" ca="1" si="14">E52/E56</f>
        <v>3.4877217785123111</v>
      </c>
      <c r="F59" s="74">
        <f t="shared" ca="1" si="14"/>
        <v>3.8877140935008048</v>
      </c>
    </row>
    <row r="60" spans="1:13" ht="15" customHeight="1" x14ac:dyDescent="0.25">
      <c r="A60" s="10"/>
      <c r="B60" t="s">
        <v>531</v>
      </c>
      <c r="C60" s="63"/>
      <c r="D60" s="63">
        <f t="shared" ref="D60" ca="1" si="15">D59/D58-1</f>
        <v>-2.2780962683962125E-2</v>
      </c>
      <c r="E60" s="63">
        <f t="shared" ref="E60" ca="1" si="16">E59/E58-1</f>
        <v>8.0120747145409066E-3</v>
      </c>
      <c r="F60" s="63">
        <f t="shared" ref="F60" ca="1" si="17">F59/F58-1</f>
        <v>5.0733538784001331E-2</v>
      </c>
    </row>
    <row r="61" spans="1:13" ht="15" customHeight="1" x14ac:dyDescent="0.25">
      <c r="A61" s="10"/>
      <c r="B61" t="s">
        <v>532</v>
      </c>
      <c r="D61">
        <f ca="1">(D58-D59)*D56/(1-$C$10)</f>
        <v>491.25107928323757</v>
      </c>
      <c r="E61">
        <f t="shared" ref="E61:F61" ca="1" si="18">(E58-E59)*E56/(1-$C$10)</f>
        <v>-185.07596047025987</v>
      </c>
      <c r="F61">
        <f t="shared" ca="1" si="18"/>
        <v>-1253.2156309176564</v>
      </c>
    </row>
    <row r="62" spans="1:13" ht="15" customHeight="1" x14ac:dyDescent="0.25">
      <c r="A62" s="10"/>
    </row>
    <row r="63" spans="1:13" ht="15" customHeight="1" x14ac:dyDescent="0.25">
      <c r="A63" s="10" t="s">
        <v>340</v>
      </c>
    </row>
    <row r="64" spans="1:13" ht="15" customHeight="1" x14ac:dyDescent="0.25">
      <c r="A64" s="10"/>
      <c r="B64" t="s">
        <v>533</v>
      </c>
      <c r="K64" t="s">
        <v>534</v>
      </c>
      <c r="M64">
        <f>C42</f>
        <v>4385.9746416415392</v>
      </c>
    </row>
    <row r="65" spans="1:17" ht="15" customHeight="1" x14ac:dyDescent="0.25">
      <c r="A65" s="10"/>
    </row>
    <row r="66" spans="1:17" ht="15" customHeight="1" x14ac:dyDescent="0.25">
      <c r="A66" s="10"/>
      <c r="C66" s="79"/>
      <c r="F66" t="s">
        <v>535</v>
      </c>
      <c r="O66" t="s">
        <v>535</v>
      </c>
    </row>
    <row r="67" spans="1:17" ht="15" customHeight="1" x14ac:dyDescent="0.25">
      <c r="A67" s="10"/>
      <c r="C67" s="63">
        <f ca="1">F60</f>
        <v>5.0733538784001331E-2</v>
      </c>
      <c r="D67" s="122">
        <f>E67-0.1</f>
        <v>0.5</v>
      </c>
      <c r="E67" s="122">
        <f>F67-0.1</f>
        <v>0.6</v>
      </c>
      <c r="F67" s="122">
        <v>0.7</v>
      </c>
      <c r="G67" s="122">
        <f>F67+0.1</f>
        <v>0.79999999999999993</v>
      </c>
      <c r="H67" s="122">
        <f>G67+0.1</f>
        <v>0.89999999999999991</v>
      </c>
      <c r="L67" s="63">
        <f ca="1">F60</f>
        <v>5.0733538784001331E-2</v>
      </c>
      <c r="M67" s="122">
        <f>N67-0.1</f>
        <v>0.5</v>
      </c>
      <c r="N67" s="122">
        <f>O67-0.1</f>
        <v>0.6</v>
      </c>
      <c r="O67" s="122">
        <v>0.7</v>
      </c>
      <c r="P67" s="122">
        <f>O67+0.1</f>
        <v>0.79999999999999993</v>
      </c>
      <c r="Q67" s="122">
        <f>P67+0.1</f>
        <v>0.89999999999999991</v>
      </c>
    </row>
    <row r="68" spans="1:17" ht="15" customHeight="1" x14ac:dyDescent="0.25">
      <c r="A68" s="10"/>
      <c r="C68" s="123">
        <f>C69-1</f>
        <v>21</v>
      </c>
      <c r="D68" s="63">
        <f t="dataTable" ref="D68:H76" dt2D="1" dtr="1" r1="C28" r2="C12" ca="1"/>
        <v>9.7833153032798492E-2</v>
      </c>
      <c r="E68" s="63">
        <v>9.2588029055828081E-2</v>
      </c>
      <c r="F68" s="63">
        <v>8.7550727291968222E-2</v>
      </c>
      <c r="G68" s="63">
        <v>8.2709136190747268E-2</v>
      </c>
      <c r="H68" s="63">
        <v>7.8052067390417701E-2</v>
      </c>
      <c r="L68" s="158">
        <f>C68*$M$64</f>
        <v>92105.467474472316</v>
      </c>
      <c r="M68" s="63">
        <f t="dataTable" ref="M68:Q76" dt2D="1" dtr="1" r1="C28" r2="C17" ca="1"/>
        <v>6.186752260256223E-2</v>
      </c>
      <c r="N68" s="63">
        <v>5.6642690254828487E-2</v>
      </c>
      <c r="O68" s="63">
        <v>5.1656513255708525E-2</v>
      </c>
      <c r="P68" s="63">
        <v>4.6893005077332628E-2</v>
      </c>
      <c r="Q68" s="63">
        <v>4.233757583463249E-2</v>
      </c>
    </row>
    <row r="69" spans="1:17" ht="15" customHeight="1" x14ac:dyDescent="0.25">
      <c r="A69" s="10"/>
      <c r="C69" s="123">
        <f>C70-1</f>
        <v>22</v>
      </c>
      <c r="D69" s="63">
        <v>8.8476455884407557E-2</v>
      </c>
      <c r="E69" s="63">
        <v>8.3214237029663574E-2</v>
      </c>
      <c r="F69" s="63">
        <v>7.8168846073689568E-2</v>
      </c>
      <c r="G69" s="63">
        <v>7.3327152067285351E-2</v>
      </c>
      <c r="H69" s="63">
        <v>6.8677063350109036E-2</v>
      </c>
      <c r="L69" s="158">
        <f t="shared" ref="L69:L76" si="19">C69*$M$64</f>
        <v>96491.44211611386</v>
      </c>
      <c r="M69" s="63">
        <v>5.1187609057744776E-2</v>
      </c>
      <c r="N69" s="63">
        <v>4.6013420815356865E-2</v>
      </c>
      <c r="O69" s="63">
        <v>4.1084802223367856E-2</v>
      </c>
      <c r="P69" s="63">
        <v>3.6384676230669211E-2</v>
      </c>
      <c r="Q69" s="63">
        <v>3.1897513311172299E-2</v>
      </c>
    </row>
    <row r="70" spans="1:17" ht="15" customHeight="1" x14ac:dyDescent="0.25">
      <c r="A70" s="10"/>
      <c r="C70" s="123">
        <f>C71-1</f>
        <v>23</v>
      </c>
      <c r="D70" s="63">
        <v>7.9208989578533506E-2</v>
      </c>
      <c r="E70" s="63">
        <v>7.394537365388798E-2</v>
      </c>
      <c r="F70" s="63">
        <v>6.8906867291220086E-2</v>
      </c>
      <c r="G70" s="63">
        <v>6.4079331900721792E-2</v>
      </c>
      <c r="H70" s="63">
        <v>5.9449788626942723E-2</v>
      </c>
      <c r="L70" s="158">
        <f t="shared" si="19"/>
        <v>100877.4167577554</v>
      </c>
      <c r="M70" s="63">
        <v>4.0626038064490944E-2</v>
      </c>
      <c r="N70" s="63">
        <v>3.5521923119477217E-2</v>
      </c>
      <c r="O70" s="63">
        <v>3.0669020460785124E-2</v>
      </c>
      <c r="P70" s="63">
        <v>2.6049229425376907E-2</v>
      </c>
      <c r="Q70" s="63">
        <v>2.1646147513090463E-2</v>
      </c>
    </row>
    <row r="71" spans="1:17" ht="15" customHeight="1" x14ac:dyDescent="0.25">
      <c r="A71" s="10"/>
      <c r="B71" t="s">
        <v>536</v>
      </c>
      <c r="C71" s="123">
        <f>C72-1</f>
        <v>24</v>
      </c>
      <c r="D71" s="63">
        <v>7.0029483737789722E-2</v>
      </c>
      <c r="E71" s="63">
        <v>6.4779686903955858E-2</v>
      </c>
      <c r="F71" s="63">
        <v>5.9762506971473561E-2</v>
      </c>
      <c r="G71" s="63">
        <v>5.4962818271000025E-2</v>
      </c>
      <c r="H71" s="63">
        <v>5.0366778686934843E-2</v>
      </c>
      <c r="K71" s="79" t="s">
        <v>537</v>
      </c>
      <c r="L71" s="158">
        <f t="shared" si="19"/>
        <v>105263.39139939693</v>
      </c>
      <c r="M71" s="63">
        <v>3.0180853456179157E-2</v>
      </c>
      <c r="N71" s="63">
        <v>2.5165535813042705E-2</v>
      </c>
      <c r="O71" s="63">
        <v>2.0405743365475626E-2</v>
      </c>
      <c r="P71" s="63">
        <v>1.588243311127524E-2</v>
      </c>
      <c r="Q71" s="63">
        <v>1.1578408419687047E-2</v>
      </c>
    </row>
    <row r="72" spans="1:17" ht="15" customHeight="1" x14ac:dyDescent="0.25">
      <c r="A72" s="10"/>
      <c r="C72" s="123">
        <v>25</v>
      </c>
      <c r="D72" s="63">
        <v>6.0936691985999714E-2</v>
      </c>
      <c r="E72" s="63">
        <v>5.571546354485224E-2</v>
      </c>
      <c r="F72" s="63">
        <v>5.0733538784001331E-2</v>
      </c>
      <c r="G72" s="63">
        <v>4.5974834329062464E-2</v>
      </c>
      <c r="H72" s="63">
        <v>4.1424676489029366E-2</v>
      </c>
      <c r="L72" s="158">
        <f t="shared" si="19"/>
        <v>109649.36604103848</v>
      </c>
      <c r="M72" s="63">
        <v>1.9850141943065891E-2</v>
      </c>
      <c r="N72" s="63">
        <v>1.4941665649643054E-2</v>
      </c>
      <c r="O72" s="63">
        <v>1.0291645890075696E-2</v>
      </c>
      <c r="P72" s="63">
        <v>5.8801927187268621E-3</v>
      </c>
      <c r="Q72" s="63">
        <v>1.6894060305792102E-3</v>
      </c>
    </row>
    <row r="73" spans="1:17" ht="15" customHeight="1" x14ac:dyDescent="0.25">
      <c r="A73" s="10"/>
      <c r="C73" s="123">
        <f>C72+1</f>
        <v>26</v>
      </c>
      <c r="D73" s="63">
        <v>5.1929391384041512E-2</v>
      </c>
      <c r="E73" s="63">
        <v>4.6751028063512612E-2</v>
      </c>
      <c r="F73" s="63">
        <v>4.1817792233922013E-2</v>
      </c>
      <c r="G73" s="63">
        <v>3.7112680976893575E-2</v>
      </c>
      <c r="H73" s="63">
        <v>3.2620228348249958E-2</v>
      </c>
      <c r="L73" s="158">
        <f t="shared" si="19"/>
        <v>114035.34068268002</v>
      </c>
      <c r="M73" s="63">
        <v>9.6320319439229252E-3</v>
      </c>
      <c r="N73" s="63">
        <v>4.8477853257411496E-3</v>
      </c>
      <c r="O73" s="63">
        <v>3.2349895079075708E-4</v>
      </c>
      <c r="P73" s="63">
        <v>-3.961454839654488E-3</v>
      </c>
      <c r="Q73" s="63">
        <v>-8.0255775539355145E-3</v>
      </c>
    </row>
    <row r="74" spans="1:17" ht="15" customHeight="1" x14ac:dyDescent="0.25">
      <c r="A74" s="10"/>
      <c r="C74" s="123">
        <f>C73+1</f>
        <v>27</v>
      </c>
      <c r="D74" s="63">
        <v>4.3006381881534494E-2</v>
      </c>
      <c r="E74" s="63">
        <v>3.7884741636303287E-2</v>
      </c>
      <c r="F74" s="63">
        <v>3.3013150922406975E-2</v>
      </c>
      <c r="G74" s="63">
        <v>2.8373734165173747E-2</v>
      </c>
      <c r="H74" s="63">
        <v>2.3950279988444789E-2</v>
      </c>
      <c r="L74" s="158">
        <f t="shared" si="19"/>
        <v>118421.31532432156</v>
      </c>
      <c r="M74" s="63">
        <v>-4.7530754432634215E-4</v>
      </c>
      <c r="N74" s="63">
        <v>-5.1185686021388843E-3</v>
      </c>
      <c r="O74" s="63">
        <v>-9.5018340097883236E-3</v>
      </c>
      <c r="P74" s="63">
        <v>-1.36463464045673E-2</v>
      </c>
      <c r="Q74" s="63">
        <v>-1.757109563807091E-2</v>
      </c>
    </row>
    <row r="75" spans="1:17" ht="15" customHeight="1" x14ac:dyDescent="0.25">
      <c r="A75" s="10"/>
      <c r="C75" s="123">
        <f>C74+1</f>
        <v>28</v>
      </c>
      <c r="D75" s="63">
        <v>3.4166485783845291E-2</v>
      </c>
      <c r="E75" s="63">
        <v>2.9115001130235907E-2</v>
      </c>
      <c r="F75" s="63">
        <v>2.4317550871798543E-2</v>
      </c>
      <c r="G75" s="63">
        <v>1.97554423028663E-2</v>
      </c>
      <c r="H75" s="63">
        <v>1.5411772774555965E-2</v>
      </c>
      <c r="L75" s="158">
        <f t="shared" si="19"/>
        <v>122807.28996596309</v>
      </c>
      <c r="M75" s="63">
        <v>-1.0473668040407613E-2</v>
      </c>
      <c r="N75" s="63">
        <v>-1.4959797721773804E-2</v>
      </c>
      <c r="O75" s="63">
        <v>-1.9187400313184222E-2</v>
      </c>
      <c r="P75" s="63">
        <v>-2.3178197557391034E-2</v>
      </c>
      <c r="Q75" s="63">
        <v>-2.6951544046385223E-2</v>
      </c>
    </row>
    <row r="76" spans="1:17" ht="15" customHeight="1" x14ac:dyDescent="0.25">
      <c r="A76" s="10"/>
      <c r="C76" s="123">
        <f>C75+1</f>
        <v>29</v>
      </c>
      <c r="D76" s="63">
        <v>2.5408547233918943E-2</v>
      </c>
      <c r="E76" s="63">
        <v>2.0440238136628874E-2</v>
      </c>
      <c r="F76" s="63">
        <v>1.5728978912566971E-2</v>
      </c>
      <c r="G76" s="63">
        <v>1.1255323773360804E-2</v>
      </c>
      <c r="H76" s="63">
        <v>7.0017401149629066E-3</v>
      </c>
      <c r="L76" s="158">
        <f t="shared" si="19"/>
        <v>127193.26460760464</v>
      </c>
      <c r="M76" s="63">
        <v>-2.0364802637305224E-2</v>
      </c>
      <c r="N76" s="63">
        <v>-2.4678243694583157E-2</v>
      </c>
      <c r="O76" s="63">
        <v>-2.873616119610356E-2</v>
      </c>
      <c r="P76" s="63">
        <v>-3.2560607372974504E-2</v>
      </c>
      <c r="Q76" s="63">
        <v>-3.6171167873618293E-2</v>
      </c>
    </row>
    <row r="77" spans="1:17" ht="15" customHeight="1" x14ac:dyDescent="0.25">
      <c r="A77" s="10"/>
    </row>
    <row r="78" spans="1:17" ht="15" customHeight="1" x14ac:dyDescent="0.25">
      <c r="A78" s="10" t="s">
        <v>538</v>
      </c>
    </row>
    <row r="79" spans="1:17" ht="15" customHeight="1" x14ac:dyDescent="0.25">
      <c r="A79" s="10"/>
      <c r="C79" s="79" t="s">
        <v>132</v>
      </c>
      <c r="D79" s="79" t="s">
        <v>471</v>
      </c>
      <c r="E79" s="79" t="s">
        <v>472</v>
      </c>
      <c r="F79" s="79" t="s">
        <v>500</v>
      </c>
    </row>
    <row r="80" spans="1:17" ht="15" customHeight="1" x14ac:dyDescent="0.25">
      <c r="A80" s="10"/>
      <c r="B80" t="s">
        <v>539</v>
      </c>
      <c r="C80">
        <f>$M$14-$M$15</f>
        <v>29686</v>
      </c>
      <c r="D80">
        <f t="shared" ref="D80:F80" si="20">$M$14-$M$15</f>
        <v>29686</v>
      </c>
      <c r="E80">
        <f t="shared" si="20"/>
        <v>29686</v>
      </c>
      <c r="F80">
        <f t="shared" si="20"/>
        <v>29686</v>
      </c>
    </row>
    <row r="81" spans="1:6" ht="15" customHeight="1" x14ac:dyDescent="0.25">
      <c r="A81" s="10"/>
      <c r="B81" t="s">
        <v>540</v>
      </c>
      <c r="C81">
        <f>M22</f>
        <v>16063</v>
      </c>
      <c r="D81">
        <f t="shared" ref="D81:F81" si="21">N22</f>
        <v>17272.8</v>
      </c>
      <c r="E81">
        <f t="shared" si="21"/>
        <v>18252.099999999999</v>
      </c>
      <c r="F81">
        <f t="shared" si="21"/>
        <v>19728.3</v>
      </c>
    </row>
    <row r="82" spans="1:6" ht="15" customHeight="1" x14ac:dyDescent="0.25">
      <c r="A82" s="10"/>
      <c r="B82" t="s">
        <v>541</v>
      </c>
      <c r="C82" s="64">
        <f>C80/C81</f>
        <v>1.8480981136773953</v>
      </c>
      <c r="D82" s="64">
        <f t="shared" ref="D82:F82" si="22">D80/D81</f>
        <v>1.7186559214487518</v>
      </c>
      <c r="E82" s="64">
        <f t="shared" si="22"/>
        <v>1.6264429846428632</v>
      </c>
      <c r="F82" s="64">
        <f t="shared" si="22"/>
        <v>1.5047419189691966</v>
      </c>
    </row>
    <row r="83" spans="1:6" ht="15" customHeight="1" x14ac:dyDescent="0.25">
      <c r="A83" s="10"/>
    </row>
    <row r="84" spans="1:6" ht="15" customHeight="1" x14ac:dyDescent="0.25">
      <c r="A84" s="10"/>
      <c r="B84" t="s">
        <v>542</v>
      </c>
      <c r="D84">
        <f>$H$37</f>
        <v>28994.721364440818</v>
      </c>
      <c r="E84">
        <f t="shared" ref="E84:F84" si="23">$H$37</f>
        <v>28994.721364440818</v>
      </c>
      <c r="F84">
        <f t="shared" si="23"/>
        <v>28994.721364440818</v>
      </c>
    </row>
    <row r="85" spans="1:6" ht="15" customHeight="1" x14ac:dyDescent="0.25">
      <c r="A85" s="10"/>
      <c r="B85" t="s">
        <v>543</v>
      </c>
      <c r="D85">
        <f>D84+D80</f>
        <v>58680.721364440818</v>
      </c>
      <c r="E85">
        <f t="shared" ref="E85:F85" si="24">E84+E80</f>
        <v>58680.721364440818</v>
      </c>
      <c r="F85">
        <f t="shared" si="24"/>
        <v>58680.721364440818</v>
      </c>
    </row>
    <row r="86" spans="1:6" ht="15" customHeight="1" x14ac:dyDescent="0.25">
      <c r="A86" s="10"/>
      <c r="B86" t="s">
        <v>518</v>
      </c>
      <c r="D86">
        <f>D44</f>
        <v>22455.942914505129</v>
      </c>
      <c r="E86">
        <f t="shared" ref="E86:F86" si="25">E44</f>
        <v>24449.55822058388</v>
      </c>
      <c r="F86">
        <f t="shared" si="25"/>
        <v>27312.090914926015</v>
      </c>
    </row>
    <row r="87" spans="1:6" ht="15" customHeight="1" x14ac:dyDescent="0.25">
      <c r="A87" s="10"/>
      <c r="B87" t="s">
        <v>544</v>
      </c>
      <c r="D87" s="64">
        <f>D85/D86</f>
        <v>2.6131488482960452</v>
      </c>
      <c r="E87" s="64">
        <f t="shared" ref="E87:F87" si="26">E85/E86</f>
        <v>2.4000728698254354</v>
      </c>
      <c r="F87" s="64">
        <f t="shared" si="26"/>
        <v>2.1485254112262746</v>
      </c>
    </row>
    <row r="88" spans="1:6" ht="15" customHeight="1" x14ac:dyDescent="0.25">
      <c r="A88" s="10"/>
    </row>
    <row r="89" spans="1:6" ht="15" customHeight="1" x14ac:dyDescent="0.25">
      <c r="A89" s="10"/>
      <c r="B89" t="s">
        <v>545</v>
      </c>
      <c r="C89" s="233" t="str">
        <f>'1'!$C$19</f>
        <v>A+</v>
      </c>
      <c r="D89" s="233" t="str">
        <f>'1'!$C$19</f>
        <v>A+</v>
      </c>
      <c r="E89" s="233" t="str">
        <f>'1'!$C$19</f>
        <v>A+</v>
      </c>
      <c r="F89" s="233" t="str">
        <f>'1'!$C$19</f>
        <v>A+</v>
      </c>
    </row>
    <row r="90" spans="1:6" ht="15" customHeight="1" x14ac:dyDescent="0.25">
      <c r="A90" s="10"/>
    </row>
    <row r="91" spans="1:6" ht="15" customHeight="1" x14ac:dyDescent="0.25">
      <c r="A91" s="10" t="s">
        <v>546</v>
      </c>
      <c r="D91" s="79"/>
      <c r="E91" s="79"/>
      <c r="F91" s="79"/>
    </row>
    <row r="92" spans="1:6" ht="15" customHeight="1" x14ac:dyDescent="0.25">
      <c r="A92" s="10"/>
      <c r="B92" t="s">
        <v>547</v>
      </c>
      <c r="D92" s="64">
        <f>$M$9/N24</f>
        <v>24.71826625386997</v>
      </c>
      <c r="E92" s="64">
        <f t="shared" ref="E92:F92" si="27">$M$9/O24</f>
        <v>23.075144508670522</v>
      </c>
      <c r="F92" s="64">
        <f t="shared" si="27"/>
        <v>21.578378378378378</v>
      </c>
    </row>
    <row r="93" spans="1:6" ht="15" customHeight="1" x14ac:dyDescent="0.25">
      <c r="A93" s="10"/>
      <c r="B93" t="s">
        <v>548</v>
      </c>
      <c r="D93" s="64">
        <f>1/($C$29*(1-$M$10))</f>
        <v>25.74002574002574</v>
      </c>
      <c r="E93" s="64">
        <f t="shared" ref="E93:F93" si="28">1/($C$29*(1-$M$10))</f>
        <v>25.74002574002574</v>
      </c>
      <c r="F93" s="64">
        <f t="shared" si="28"/>
        <v>25.74002574002574</v>
      </c>
    </row>
    <row r="94" spans="1:6" ht="15" customHeight="1" x14ac:dyDescent="0.25">
      <c r="A94" s="10"/>
      <c r="B94" t="s">
        <v>549</v>
      </c>
      <c r="D94" s="64">
        <f ca="1">$C$35/D24</f>
        <v>29.302884506382785</v>
      </c>
      <c r="E94" s="64">
        <f t="shared" ref="E94:F94" ca="1" si="29">$C$35/E24</f>
        <v>26.241216841673147</v>
      </c>
      <c r="F94" s="64">
        <f t="shared" ca="1" si="29"/>
        <v>23.573229565141851</v>
      </c>
    </row>
    <row r="95" spans="1:6" ht="15" customHeight="1" x14ac:dyDescent="0.25">
      <c r="A95" s="10"/>
    </row>
    <row r="96" spans="1:6" ht="15" customHeight="1" x14ac:dyDescent="0.25">
      <c r="A96" s="10" t="s">
        <v>550</v>
      </c>
    </row>
    <row r="97" spans="1:7" ht="15" customHeight="1" x14ac:dyDescent="0.25">
      <c r="A97" s="10"/>
      <c r="B97" t="s">
        <v>507</v>
      </c>
      <c r="C97">
        <f>$C$35</f>
        <v>94056.077502067128</v>
      </c>
    </row>
    <row r="98" spans="1:7" ht="15" customHeight="1" x14ac:dyDescent="0.25">
      <c r="A98" s="10"/>
      <c r="B98" t="s">
        <v>509</v>
      </c>
      <c r="C98">
        <f>C36</f>
        <v>924.85791382067146</v>
      </c>
    </row>
    <row r="99" spans="1:7" ht="15" customHeight="1" x14ac:dyDescent="0.25">
      <c r="A99" s="10"/>
      <c r="B99" t="s">
        <v>30</v>
      </c>
      <c r="C99">
        <f>C37</f>
        <v>559.03743999999995</v>
      </c>
    </row>
    <row r="100" spans="1:7" ht="15" customHeight="1" x14ac:dyDescent="0.25">
      <c r="A100" s="10"/>
      <c r="B100" t="s">
        <v>34</v>
      </c>
      <c r="C100">
        <f>SUM(C97:C99)</f>
        <v>95539.972855887798</v>
      </c>
    </row>
    <row r="101" spans="1:7" ht="15" customHeight="1" x14ac:dyDescent="0.25">
      <c r="A101" s="10"/>
    </row>
    <row r="102" spans="1:7" ht="15" customHeight="1" x14ac:dyDescent="0.25">
      <c r="A102" s="10"/>
      <c r="B102" t="s">
        <v>17</v>
      </c>
      <c r="D102" s="230">
        <f>'Red Bull Model'!G63*FX</f>
        <v>3462.51195401515</v>
      </c>
      <c r="G102" s="43"/>
    </row>
    <row r="103" spans="1:7" ht="15" customHeight="1" x14ac:dyDescent="0.25">
      <c r="A103" s="10"/>
      <c r="B103" t="s">
        <v>376</v>
      </c>
      <c r="D103">
        <f>D43</f>
        <v>255.5392392387958</v>
      </c>
      <c r="G103" s="43"/>
    </row>
    <row r="104" spans="1:7" ht="15" customHeight="1" x14ac:dyDescent="0.25">
      <c r="A104" s="10"/>
      <c r="B104" t="s">
        <v>551</v>
      </c>
      <c r="D104">
        <f>SUM(D102:D103)*(1-C10)</f>
        <v>2862.8994188055381</v>
      </c>
      <c r="G104" s="43"/>
    </row>
    <row r="105" spans="1:7" ht="15" customHeight="1" x14ac:dyDescent="0.25">
      <c r="A105" s="10"/>
    </row>
    <row r="106" spans="1:7" ht="15" customHeight="1" x14ac:dyDescent="0.25">
      <c r="A106" s="10"/>
      <c r="B106" t="s">
        <v>35</v>
      </c>
      <c r="D106" s="63">
        <f>D104/C100</f>
        <v>2.9965461923711519E-2</v>
      </c>
      <c r="E106" s="63"/>
      <c r="F106" s="63"/>
      <c r="G106" s="43"/>
    </row>
    <row r="107" spans="1:7" ht="15" customHeight="1" x14ac:dyDescent="0.25">
      <c r="A107" s="10"/>
      <c r="B107" t="s">
        <v>328</v>
      </c>
      <c r="D107" s="234">
        <f ca="1">WACC!D31</f>
        <v>5.5612558610683829E-2</v>
      </c>
    </row>
    <row r="108" spans="1:7" ht="15" customHeight="1" x14ac:dyDescent="0.25">
      <c r="A108" s="9"/>
    </row>
    <row r="109" spans="1:7" ht="15" customHeight="1" x14ac:dyDescent="0.25">
      <c r="A109" s="10" t="s">
        <v>552</v>
      </c>
    </row>
    <row r="110" spans="1:7" ht="15" customHeight="1" x14ac:dyDescent="0.25">
      <c r="A110" s="10"/>
    </row>
    <row r="111" spans="1:7" ht="15" customHeight="1" x14ac:dyDescent="0.25">
      <c r="A111" s="10"/>
      <c r="B111" s="77" t="s">
        <v>536</v>
      </c>
      <c r="C111" s="77" t="s">
        <v>250</v>
      </c>
      <c r="D111" s="77" t="s">
        <v>263</v>
      </c>
    </row>
    <row r="112" spans="1:7" ht="15" customHeight="1" x14ac:dyDescent="0.25">
      <c r="A112" s="10"/>
      <c r="B112" s="64">
        <v>15</v>
      </c>
      <c r="C112">
        <f>$C$42</f>
        <v>4385.9746416415392</v>
      </c>
      <c r="D112">
        <f>C112*B112</f>
        <v>65789.619624623083</v>
      </c>
    </row>
    <row r="113" spans="1:4" ht="15" customHeight="1" x14ac:dyDescent="0.25">
      <c r="A113" s="10"/>
      <c r="B113" s="64">
        <f>B112+1</f>
        <v>16</v>
      </c>
      <c r="C113">
        <f t="shared" ref="C113:C122" si="30">$C$42</f>
        <v>4385.9746416415392</v>
      </c>
      <c r="D113">
        <f>C113*B113</f>
        <v>70175.594266264627</v>
      </c>
    </row>
    <row r="114" spans="1:4" ht="15" customHeight="1" x14ac:dyDescent="0.25">
      <c r="A114" s="10"/>
      <c r="B114" s="64">
        <f t="shared" ref="B114:B122" si="31">B113+1</f>
        <v>17</v>
      </c>
      <c r="C114">
        <f t="shared" si="30"/>
        <v>4385.9746416415392</v>
      </c>
      <c r="D114">
        <f t="shared" ref="D114:D122" si="32">C114*B114</f>
        <v>74561.56890790617</v>
      </c>
    </row>
    <row r="115" spans="1:4" ht="15" customHeight="1" x14ac:dyDescent="0.25">
      <c r="A115" s="10"/>
      <c r="B115" s="64">
        <f t="shared" si="31"/>
        <v>18</v>
      </c>
      <c r="C115">
        <f t="shared" si="30"/>
        <v>4385.9746416415392</v>
      </c>
      <c r="D115">
        <f t="shared" si="32"/>
        <v>78947.5435495477</v>
      </c>
    </row>
    <row r="116" spans="1:4" ht="15" customHeight="1" x14ac:dyDescent="0.25">
      <c r="A116" s="10"/>
      <c r="B116" s="64">
        <f t="shared" si="31"/>
        <v>19</v>
      </c>
      <c r="C116">
        <f t="shared" si="30"/>
        <v>4385.9746416415392</v>
      </c>
      <c r="D116">
        <f t="shared" si="32"/>
        <v>83333.518191189243</v>
      </c>
    </row>
    <row r="117" spans="1:4" ht="15" customHeight="1" x14ac:dyDescent="0.25">
      <c r="A117" s="10"/>
      <c r="B117" s="64">
        <f t="shared" si="31"/>
        <v>20</v>
      </c>
      <c r="C117">
        <f t="shared" si="30"/>
        <v>4385.9746416415392</v>
      </c>
      <c r="D117">
        <f t="shared" si="32"/>
        <v>87719.492832830787</v>
      </c>
    </row>
    <row r="118" spans="1:4" ht="15" customHeight="1" x14ac:dyDescent="0.25">
      <c r="A118" s="10"/>
      <c r="B118" s="64">
        <f t="shared" si="31"/>
        <v>21</v>
      </c>
      <c r="C118">
        <f t="shared" si="30"/>
        <v>4385.9746416415392</v>
      </c>
      <c r="D118">
        <f t="shared" si="32"/>
        <v>92105.467474472316</v>
      </c>
    </row>
    <row r="119" spans="1:4" ht="15" customHeight="1" x14ac:dyDescent="0.25">
      <c r="A119" s="9"/>
      <c r="B119" s="64">
        <f t="shared" si="31"/>
        <v>22</v>
      </c>
      <c r="C119">
        <f t="shared" si="30"/>
        <v>4385.9746416415392</v>
      </c>
      <c r="D119">
        <f t="shared" si="32"/>
        <v>96491.44211611386</v>
      </c>
    </row>
    <row r="120" spans="1:4" ht="15" customHeight="1" x14ac:dyDescent="0.25">
      <c r="A120" s="9"/>
      <c r="B120" s="64">
        <f t="shared" si="31"/>
        <v>23</v>
      </c>
      <c r="C120">
        <f t="shared" si="30"/>
        <v>4385.9746416415392</v>
      </c>
      <c r="D120">
        <f t="shared" si="32"/>
        <v>100877.4167577554</v>
      </c>
    </row>
    <row r="121" spans="1:4" ht="15" customHeight="1" x14ac:dyDescent="0.25">
      <c r="A121" s="9"/>
      <c r="B121" s="64">
        <f t="shared" si="31"/>
        <v>24</v>
      </c>
      <c r="C121">
        <f t="shared" si="30"/>
        <v>4385.9746416415392</v>
      </c>
      <c r="D121">
        <f t="shared" si="32"/>
        <v>105263.39139939693</v>
      </c>
    </row>
    <row r="122" spans="1:4" ht="15" customHeight="1" x14ac:dyDescent="0.25">
      <c r="A122" s="9"/>
      <c r="B122" s="64">
        <f t="shared" si="31"/>
        <v>25</v>
      </c>
      <c r="C122">
        <f t="shared" si="30"/>
        <v>4385.9746416415392</v>
      </c>
      <c r="D122">
        <f t="shared" si="32"/>
        <v>109649.36604103848</v>
      </c>
    </row>
    <row r="123" spans="1:4" ht="15" customHeight="1" x14ac:dyDescent="0.25">
      <c r="A123" s="9"/>
    </row>
    <row r="124" spans="1:4" ht="15" customHeight="1" x14ac:dyDescent="0.25">
      <c r="A124" s="9"/>
      <c r="B124" t="s">
        <v>553</v>
      </c>
      <c r="C124" s="231">
        <f ca="1">MEDIAN(Trading_comps!AI28:AI29)</f>
        <v>26.770840989080046</v>
      </c>
    </row>
    <row r="125" spans="1:4" ht="15" customHeight="1" x14ac:dyDescent="0.25">
      <c r="A125" s="9"/>
      <c r="B125" t="s">
        <v>554</v>
      </c>
      <c r="C125" s="231">
        <f>MEDIAN(Transaction_comps!L31:L34)</f>
        <v>16.956124500000001</v>
      </c>
    </row>
    <row r="126" spans="1:4" ht="15" customHeight="1" x14ac:dyDescent="0.25">
      <c r="A126" s="9"/>
    </row>
    <row r="127" spans="1:4" ht="15" customHeight="1" x14ac:dyDescent="0.25">
      <c r="A127" s="10" t="s">
        <v>555</v>
      </c>
      <c r="C127" s="77" t="s">
        <v>556</v>
      </c>
      <c r="D127" s="77" t="s">
        <v>557</v>
      </c>
    </row>
    <row r="128" spans="1:4" ht="15" customHeight="1" x14ac:dyDescent="0.25">
      <c r="A128" s="10"/>
      <c r="B128" t="s">
        <v>558</v>
      </c>
      <c r="C128">
        <f>$M$12</f>
        <v>4316.0291191001998</v>
      </c>
      <c r="D128" s="63">
        <f>C128/C130</f>
        <v>0.83958509180776142</v>
      </c>
    </row>
    <row r="129" spans="1:4" ht="15" customHeight="1" x14ac:dyDescent="0.25">
      <c r="A129" s="10"/>
      <c r="B129" t="s">
        <v>527</v>
      </c>
      <c r="C129">
        <f>$D$55</f>
        <v>824.6399580592057</v>
      </c>
      <c r="D129" s="63">
        <f>C129/C130</f>
        <v>0.16041490819223855</v>
      </c>
    </row>
    <row r="130" spans="1:4" ht="15" customHeight="1" x14ac:dyDescent="0.25">
      <c r="A130" s="10"/>
      <c r="B130" t="s">
        <v>559</v>
      </c>
      <c r="C130">
        <f>SUM(C128:C129)</f>
        <v>5140.6690771594058</v>
      </c>
    </row>
    <row r="131" spans="1:4" ht="15" customHeight="1" x14ac:dyDescent="0.25">
      <c r="A131" s="10"/>
      <c r="B131" t="s">
        <v>560</v>
      </c>
      <c r="C131" s="49" t="s">
        <v>19</v>
      </c>
    </row>
    <row r="132" spans="1:4" ht="15" customHeight="1" x14ac:dyDescent="0.25">
      <c r="A132" s="10"/>
      <c r="B132" t="s">
        <v>561</v>
      </c>
      <c r="C132" s="49" t="s">
        <v>19</v>
      </c>
    </row>
    <row r="133" spans="1:4" ht="15" customHeight="1" x14ac:dyDescent="0.25">
      <c r="A133" s="10"/>
    </row>
    <row r="134" spans="1:4" ht="15" customHeight="1" x14ac:dyDescent="0.25">
      <c r="A134" s="10" t="s">
        <v>562</v>
      </c>
    </row>
    <row r="135" spans="1:4" ht="15" customHeight="1" x14ac:dyDescent="0.25">
      <c r="A135" s="10"/>
      <c r="B135" t="s">
        <v>497</v>
      </c>
      <c r="C135">
        <f>C17</f>
        <v>92485.791382067138</v>
      </c>
    </row>
    <row r="136" spans="1:4" ht="15" customHeight="1" x14ac:dyDescent="0.25">
      <c r="A136" s="10"/>
      <c r="B136" t="s">
        <v>509</v>
      </c>
      <c r="C136">
        <f>C36</f>
        <v>924.85791382067146</v>
      </c>
    </row>
    <row r="137" spans="1:4" ht="15" customHeight="1" x14ac:dyDescent="0.25">
      <c r="A137" s="10"/>
    </row>
    <row r="138" spans="1:4" ht="15" customHeight="1" x14ac:dyDescent="0.25">
      <c r="A138" s="10"/>
      <c r="B138" t="s">
        <v>563</v>
      </c>
      <c r="C138">
        <f>SUM(C135:C136)</f>
        <v>93410.649295887808</v>
      </c>
    </row>
    <row r="139" spans="1:4" ht="15" customHeight="1" x14ac:dyDescent="0.25">
      <c r="A139" s="10"/>
    </row>
    <row r="140" spans="1:4" ht="15" customHeight="1" x14ac:dyDescent="0.25">
      <c r="A140" s="10"/>
      <c r="B140" t="s">
        <v>477</v>
      </c>
      <c r="C140" s="230">
        <f ca="1">Synergies!H26*FX</f>
        <v>24034.839609249437</v>
      </c>
    </row>
    <row r="141" spans="1:4" ht="15" customHeight="1" x14ac:dyDescent="0.25">
      <c r="A141" s="10"/>
      <c r="B141" t="s">
        <v>562</v>
      </c>
      <c r="C141">
        <f ca="1">C138-C140</f>
        <v>69375.809686638371</v>
      </c>
    </row>
    <row r="142" spans="1:4" ht="15" customHeight="1" x14ac:dyDescent="0.25">
      <c r="A142" s="10"/>
    </row>
    <row r="143" spans="1:4" ht="15" customHeight="1" x14ac:dyDescent="0.25">
      <c r="A143" s="10"/>
      <c r="C143" s="79" t="s">
        <v>454</v>
      </c>
      <c r="D143" s="79" t="s">
        <v>455</v>
      </c>
    </row>
    <row r="144" spans="1:4" ht="15" customHeight="1" x14ac:dyDescent="0.25">
      <c r="A144" s="10"/>
      <c r="B144" t="s">
        <v>564</v>
      </c>
      <c r="C144" s="230">
        <f ca="1">Valuation_summary!C22*FX</f>
        <v>107430.07351692047</v>
      </c>
      <c r="D144" s="230">
        <f ca="1">Valuation_summary!D22*FX</f>
        <v>137240.09134443858</v>
      </c>
    </row>
    <row r="145" spans="1:4" ht="15" customHeight="1" x14ac:dyDescent="0.25">
      <c r="A145" s="10"/>
      <c r="B145" t="s">
        <v>565</v>
      </c>
      <c r="C145" s="230">
        <f>Valuation_summary!C27*FX</f>
        <v>129286.05108965722</v>
      </c>
      <c r="D145" s="230">
        <f>Valuation_summary!D27*FX</f>
        <v>146526.26324818333</v>
      </c>
    </row>
    <row r="146" spans="1:4" ht="15" customHeight="1" x14ac:dyDescent="0.25">
      <c r="A146" s="10"/>
    </row>
    <row r="147" spans="1:4" ht="15" customHeight="1" x14ac:dyDescent="0.25">
      <c r="A147" s="73" t="s">
        <v>38</v>
      </c>
    </row>
    <row r="148" spans="1:4" ht="15" customHeight="1" x14ac:dyDescent="0.25">
      <c r="A148" s="73"/>
    </row>
    <row r="149" spans="1:4" ht="15" customHeight="1" x14ac:dyDescent="0.25">
      <c r="A149" s="73"/>
    </row>
    <row r="150" spans="1:4" ht="15" customHeight="1" x14ac:dyDescent="0.25">
      <c r="A150" s="73"/>
    </row>
    <row r="151" spans="1:4" ht="15" customHeight="1" x14ac:dyDescent="0.25">
      <c r="A151" s="73"/>
    </row>
    <row r="152" spans="1:4" ht="15" customHeight="1" x14ac:dyDescent="0.25">
      <c r="A152" s="73"/>
    </row>
    <row r="153" spans="1:4" ht="15" customHeight="1" x14ac:dyDescent="0.25">
      <c r="A153" s="73"/>
    </row>
    <row r="154" spans="1:4" ht="15" customHeight="1" x14ac:dyDescent="0.25">
      <c r="A154" s="73"/>
    </row>
    <row r="155" spans="1:4" ht="15" customHeight="1" x14ac:dyDescent="0.25">
      <c r="A155" s="73"/>
    </row>
    <row r="156" spans="1:4" ht="15" customHeight="1" x14ac:dyDescent="0.25">
      <c r="A156" s="73"/>
    </row>
    <row r="157" spans="1:4" ht="15" customHeight="1" x14ac:dyDescent="0.25">
      <c r="A157" s="73"/>
    </row>
    <row r="158" spans="1:4" ht="15" customHeight="1" x14ac:dyDescent="0.25">
      <c r="A158" s="73"/>
    </row>
    <row r="159" spans="1:4" ht="15" customHeight="1" x14ac:dyDescent="0.25">
      <c r="A159" s="73"/>
    </row>
    <row r="160" spans="1:4" ht="15" customHeight="1" x14ac:dyDescent="0.25">
      <c r="A160" s="73"/>
    </row>
    <row r="161" spans="1:1" ht="15" customHeight="1" x14ac:dyDescent="0.25">
      <c r="A161" s="73"/>
    </row>
    <row r="162" spans="1:1" ht="15" customHeight="1" x14ac:dyDescent="0.25">
      <c r="A162" s="73"/>
    </row>
    <row r="163" spans="1:1" ht="15" customHeight="1" x14ac:dyDescent="0.25">
      <c r="A163" s="73"/>
    </row>
    <row r="164" spans="1:1" ht="15" customHeight="1" x14ac:dyDescent="0.25">
      <c r="A164" s="73"/>
    </row>
    <row r="165" spans="1:1" ht="15" customHeight="1" x14ac:dyDescent="0.25">
      <c r="A165" s="73"/>
    </row>
    <row r="166" spans="1:1" ht="15" customHeight="1" x14ac:dyDescent="0.25">
      <c r="A166" s="73"/>
    </row>
    <row r="167" spans="1:1" ht="15" customHeight="1" x14ac:dyDescent="0.25">
      <c r="A167" s="73"/>
    </row>
    <row r="168" spans="1:1" ht="15" customHeight="1" x14ac:dyDescent="0.25">
      <c r="A168" s="73"/>
    </row>
    <row r="169" spans="1:1" ht="15" customHeight="1" x14ac:dyDescent="0.25">
      <c r="A169" s="73"/>
    </row>
    <row r="170" spans="1:1" ht="15" customHeight="1" x14ac:dyDescent="0.25">
      <c r="A170" s="73"/>
    </row>
    <row r="171" spans="1:1" ht="15" customHeight="1" x14ac:dyDescent="0.25">
      <c r="A171" s="73"/>
    </row>
    <row r="172" spans="1:1" ht="15" customHeight="1" x14ac:dyDescent="0.25">
      <c r="A172" s="73"/>
    </row>
    <row r="173" spans="1:1" ht="15" customHeight="1" x14ac:dyDescent="0.25">
      <c r="A173" s="73"/>
    </row>
    <row r="174" spans="1:1" ht="15" customHeight="1" x14ac:dyDescent="0.25">
      <c r="A174" s="73"/>
    </row>
    <row r="175" spans="1:1" ht="15" customHeight="1" x14ac:dyDescent="0.25">
      <c r="A175" s="73"/>
    </row>
    <row r="176" spans="1:1" ht="15" customHeight="1" x14ac:dyDescent="0.25">
      <c r="A176" s="73"/>
    </row>
    <row r="177" spans="1:1" ht="15" customHeight="1" x14ac:dyDescent="0.25">
      <c r="A177" s="73"/>
    </row>
    <row r="178" spans="1:1" ht="15" customHeight="1" x14ac:dyDescent="0.25">
      <c r="A178" s="73"/>
    </row>
    <row r="179" spans="1:1" ht="15" customHeight="1" x14ac:dyDescent="0.25">
      <c r="A179" s="73"/>
    </row>
    <row r="180" spans="1:1" ht="15" customHeight="1" x14ac:dyDescent="0.25">
      <c r="A180" s="73"/>
    </row>
    <row r="181" spans="1:1" ht="15" customHeight="1" x14ac:dyDescent="0.25">
      <c r="A181" s="73"/>
    </row>
    <row r="182" spans="1:1" ht="15" customHeight="1" x14ac:dyDescent="0.25">
      <c r="A182" s="73"/>
    </row>
  </sheetData>
  <conditionalFormatting sqref="D68:H76">
    <cfRule type="cellIs" dxfId="1" priority="2" operator="greaterThan">
      <formula>0</formula>
    </cfRule>
  </conditionalFormatting>
  <conditionalFormatting sqref="M68:Q76">
    <cfRule type="cellIs" dxfId="0" priority="1" operator="greaterThan">
      <formula>0</formula>
    </cfRule>
  </conditionalFormatting>
  <printOptions gridLines="1"/>
  <pageMargins left="0.31496062992125984" right="0.11811023622047245" top="0.74803149606299213" bottom="0.74803149606299213" header="0" footer="0"/>
  <pageSetup paperSize="9" scale="69" fitToHeight="0" orientation="landscape" r:id="rId1"/>
  <headerFooter>
    <oddHeader>&amp;R&amp;F  &amp;A</oddHeader>
    <oddFooter>&amp;L© 2016&amp;CPage &amp;P of</oddFooter>
  </headerFooter>
  <rowBreaks count="3" manualBreakCount="3">
    <brk id="39" max="16" man="1"/>
    <brk id="77" max="16" man="1"/>
    <brk id="108" max="16" man="1"/>
  </rowBreaks>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theme="6"/>
    <pageSetUpPr fitToPage="1"/>
  </sheetPr>
  <dimension ref="A1:Q239"/>
  <sheetViews>
    <sheetView zoomScaleNormal="100" zoomScaleSheetLayoutView="85" workbookViewId="0">
      <pane xSplit="2" ySplit="3" topLeftCell="C4" activePane="bottomRight" state="frozen"/>
      <selection pane="topRight"/>
      <selection pane="bottomLeft"/>
      <selection pane="bottomRight" activeCell="C4" sqref="C4"/>
    </sheetView>
  </sheetViews>
  <sheetFormatPr defaultColWidth="12.5703125" defaultRowHeight="15" customHeight="1" x14ac:dyDescent="0.25"/>
  <cols>
    <col min="1" max="1" width="1.5703125" customWidth="1"/>
    <col min="2" max="2" width="50.5703125" customWidth="1"/>
    <col min="3" max="9" width="10.28515625" customWidth="1"/>
    <col min="10" max="10" width="12.7109375" bestFit="1" customWidth="1"/>
    <col min="11" max="16" width="10.28515625" customWidth="1"/>
    <col min="17" max="17" width="29" bestFit="1" customWidth="1"/>
  </cols>
  <sheetData>
    <row r="1" spans="1:17" ht="30" customHeight="1" x14ac:dyDescent="0.45">
      <c r="A1" s="180" t="str">
        <f>"LBO valuation for "&amp;Info!N5</f>
        <v>LBO valuation for Red Bull</v>
      </c>
      <c r="B1" s="72"/>
      <c r="C1" s="72"/>
      <c r="D1" s="72"/>
      <c r="E1" s="72"/>
      <c r="F1" s="72"/>
      <c r="G1" s="72"/>
      <c r="H1" s="72"/>
      <c r="I1" s="72"/>
      <c r="J1" s="72"/>
      <c r="K1" s="72"/>
      <c r="L1" s="72"/>
      <c r="M1" s="72"/>
      <c r="N1" s="72"/>
      <c r="O1" s="72"/>
      <c r="P1" s="72"/>
      <c r="Q1" s="12"/>
    </row>
    <row r="2" spans="1:17" ht="15" customHeight="1" x14ac:dyDescent="0.3">
      <c r="A2" s="254"/>
      <c r="B2" s="254"/>
      <c r="C2" s="254" t="str">
        <f>'Red Bull Model'!C2</f>
        <v>Actual</v>
      </c>
      <c r="D2" s="254" t="str">
        <f>'Red Bull Model'!D2</f>
        <v>Actual</v>
      </c>
      <c r="E2" s="254" t="str">
        <f>'Red Bull Model'!E2</f>
        <v>Actual</v>
      </c>
      <c r="F2" s="254" t="str">
        <f>'Red Bull Model'!F2</f>
        <v>Actual</v>
      </c>
      <c r="G2" s="254" t="str">
        <f>'Red Bull Model'!G2</f>
        <v>Actual / Est.</v>
      </c>
      <c r="H2" s="254" t="str">
        <f>'Red Bull Model'!H2</f>
        <v>Actual / Est.</v>
      </c>
      <c r="I2" s="254" t="str">
        <f>'Red Bull Model'!I2</f>
        <v>Projected</v>
      </c>
      <c r="J2" s="254" t="str">
        <f>'Red Bull Model'!J2</f>
        <v>Projected</v>
      </c>
      <c r="K2" s="254" t="str">
        <f>'Red Bull Model'!K2</f>
        <v>Projected</v>
      </c>
      <c r="L2" s="254" t="str">
        <f>'Red Bull Model'!L2</f>
        <v>Projected</v>
      </c>
      <c r="M2" s="254" t="str">
        <f>'Red Bull Model'!M2</f>
        <v>Projected</v>
      </c>
      <c r="N2" s="254" t="str">
        <f>'Red Bull Model'!N2</f>
        <v>Projected</v>
      </c>
      <c r="O2" s="254" t="str">
        <f>'Red Bull Model'!O2</f>
        <v>Projected</v>
      </c>
      <c r="P2" s="254" t="str">
        <f>'Red Bull Model'!P2</f>
        <v>Projected</v>
      </c>
      <c r="Q2" s="13"/>
    </row>
    <row r="3" spans="1:17" ht="15" customHeight="1" x14ac:dyDescent="0.25">
      <c r="A3" s="254"/>
      <c r="B3" s="254"/>
      <c r="C3" s="255">
        <f>'Red Bull Model'!C3</f>
        <v>44196</v>
      </c>
      <c r="D3" s="255">
        <f>'Red Bull Model'!D3</f>
        <v>44561</v>
      </c>
      <c r="E3" s="255">
        <f>'Red Bull Model'!E3</f>
        <v>44926</v>
      </c>
      <c r="F3" s="255">
        <f>'Red Bull Model'!F3</f>
        <v>45291</v>
      </c>
      <c r="G3" s="255">
        <f>'Red Bull Model'!G3</f>
        <v>45657</v>
      </c>
      <c r="H3" s="255">
        <f>'Red Bull Model'!H3</f>
        <v>46022</v>
      </c>
      <c r="I3" s="255">
        <f>'Red Bull Model'!I3</f>
        <v>46387</v>
      </c>
      <c r="J3" s="255">
        <f>'Red Bull Model'!J3</f>
        <v>46752</v>
      </c>
      <c r="K3" s="255">
        <f>'Red Bull Model'!K3</f>
        <v>47118</v>
      </c>
      <c r="L3" s="255">
        <f>'Red Bull Model'!L3</f>
        <v>47483</v>
      </c>
      <c r="M3" s="255">
        <f>'Red Bull Model'!M3</f>
        <v>47848</v>
      </c>
      <c r="N3" s="255">
        <f>'Red Bull Model'!N3</f>
        <v>48213</v>
      </c>
      <c r="O3" s="255">
        <f>'Red Bull Model'!O3</f>
        <v>48579</v>
      </c>
      <c r="P3" s="255">
        <f>'Red Bull Model'!P3</f>
        <v>48944</v>
      </c>
    </row>
    <row r="4" spans="1:17" ht="15" customHeight="1" x14ac:dyDescent="0.25">
      <c r="A4" s="4" t="s">
        <v>41</v>
      </c>
      <c r="B4" s="43"/>
      <c r="C4" s="43"/>
      <c r="D4" s="43"/>
      <c r="E4" s="43"/>
      <c r="F4" s="43"/>
      <c r="G4" s="43"/>
      <c r="H4" s="43"/>
      <c r="I4" s="43"/>
      <c r="J4" s="43"/>
      <c r="K4" s="43"/>
      <c r="L4" s="43"/>
      <c r="M4" s="43"/>
      <c r="N4" s="43"/>
      <c r="O4" s="43"/>
      <c r="P4" s="43"/>
      <c r="Q4" s="43"/>
    </row>
    <row r="5" spans="1:17" ht="15" customHeight="1" x14ac:dyDescent="0.25">
      <c r="B5" s="43"/>
      <c r="C5" s="43"/>
      <c r="D5" s="43"/>
      <c r="G5" s="43"/>
      <c r="H5" s="43"/>
      <c r="I5" s="43"/>
      <c r="J5" s="43"/>
      <c r="K5" s="43"/>
      <c r="L5" s="43"/>
      <c r="M5" s="43"/>
      <c r="N5" s="43"/>
      <c r="O5" s="43"/>
      <c r="P5" s="43"/>
      <c r="Q5" s="43"/>
    </row>
    <row r="6" spans="1:17" ht="15" customHeight="1" x14ac:dyDescent="0.25">
      <c r="A6" s="10" t="s">
        <v>42</v>
      </c>
      <c r="B6" s="43"/>
      <c r="C6" s="43"/>
      <c r="D6" s="43"/>
      <c r="G6" s="43"/>
      <c r="H6" s="43"/>
      <c r="I6" s="10" t="s">
        <v>506</v>
      </c>
      <c r="J6" s="43"/>
      <c r="K6" s="43"/>
      <c r="L6" s="43"/>
      <c r="M6" s="43"/>
      <c r="N6" s="43"/>
      <c r="O6" s="4" t="s">
        <v>566</v>
      </c>
      <c r="P6" s="43"/>
      <c r="Q6" s="43"/>
    </row>
    <row r="7" spans="1:17" ht="15" customHeight="1" x14ac:dyDescent="0.25">
      <c r="A7" s="10"/>
      <c r="B7" s="4" t="s">
        <v>250</v>
      </c>
      <c r="C7" s="43"/>
      <c r="D7" s="43"/>
      <c r="G7" s="62"/>
      <c r="H7" s="236">
        <f>'Red Bull Model'!H60</f>
        <v>3715.6681138948998</v>
      </c>
      <c r="I7" t="s">
        <v>337</v>
      </c>
      <c r="K7">
        <f>H7*H9</f>
        <v>92891.702847372493</v>
      </c>
      <c r="M7" t="s">
        <v>567</v>
      </c>
      <c r="O7" s="45">
        <v>4</v>
      </c>
      <c r="P7">
        <f>O7*H7</f>
        <v>14862.672455579599</v>
      </c>
      <c r="Q7" s="43"/>
    </row>
    <row r="8" spans="1:17" ht="15" customHeight="1" x14ac:dyDescent="0.25">
      <c r="A8" s="10"/>
      <c r="B8" s="4" t="s">
        <v>568</v>
      </c>
      <c r="C8" s="43"/>
      <c r="D8" s="43"/>
      <c r="G8" s="43"/>
      <c r="H8" s="45">
        <v>6</v>
      </c>
      <c r="I8" t="s">
        <v>509</v>
      </c>
      <c r="K8">
        <f>G17*K7</f>
        <v>928.91702847372494</v>
      </c>
      <c r="M8" t="s">
        <v>569</v>
      </c>
      <c r="O8" s="130">
        <f>H8-O7</f>
        <v>2</v>
      </c>
      <c r="P8">
        <f>O8*H7</f>
        <v>7431.3362277897995</v>
      </c>
      <c r="Q8" s="43"/>
    </row>
    <row r="9" spans="1:17" ht="15" customHeight="1" x14ac:dyDescent="0.25">
      <c r="A9" s="10"/>
      <c r="B9" s="43" t="s">
        <v>495</v>
      </c>
      <c r="C9" s="43"/>
      <c r="D9" s="43"/>
      <c r="G9" s="120"/>
      <c r="H9" s="59">
        <v>25</v>
      </c>
      <c r="I9" t="s">
        <v>513</v>
      </c>
      <c r="K9">
        <f>SUM(K7:K8)</f>
        <v>93820.619875846212</v>
      </c>
      <c r="M9" t="s">
        <v>71</v>
      </c>
      <c r="O9" s="43"/>
      <c r="P9">
        <f>K9-P8-P7</f>
        <v>71526.611192476819</v>
      </c>
      <c r="Q9" s="43"/>
    </row>
    <row r="10" spans="1:17" ht="15" customHeight="1" x14ac:dyDescent="0.25">
      <c r="A10" s="10"/>
      <c r="B10" s="43" t="s">
        <v>570</v>
      </c>
      <c r="H10" s="64">
        <f>H9</f>
        <v>25</v>
      </c>
      <c r="L10" s="43"/>
      <c r="M10" t="s">
        <v>514</v>
      </c>
      <c r="O10" s="43"/>
      <c r="P10">
        <f>SUM(P7:P9)</f>
        <v>93820.619875846227</v>
      </c>
      <c r="Q10" s="43"/>
    </row>
    <row r="11" spans="1:17" ht="15" customHeight="1" x14ac:dyDescent="0.25">
      <c r="A11" s="10"/>
      <c r="B11" s="43"/>
      <c r="C11" s="43"/>
      <c r="D11" s="43"/>
      <c r="G11" s="43"/>
      <c r="H11" s="43"/>
      <c r="I11" s="43"/>
      <c r="J11" s="43"/>
      <c r="K11" s="43"/>
      <c r="L11" s="43"/>
      <c r="M11" s="43"/>
      <c r="N11" s="43"/>
      <c r="O11" s="43"/>
      <c r="Q11" s="43"/>
    </row>
    <row r="12" spans="1:17" ht="15" customHeight="1" x14ac:dyDescent="0.25">
      <c r="A12" s="10"/>
      <c r="B12" s="4" t="s">
        <v>571</v>
      </c>
      <c r="C12" s="43"/>
      <c r="D12" s="43"/>
      <c r="G12" s="50">
        <v>0.03</v>
      </c>
      <c r="H12" s="4"/>
      <c r="I12" s="43"/>
      <c r="J12" s="43"/>
      <c r="K12" s="43"/>
      <c r="L12" s="43"/>
      <c r="M12" s="43"/>
      <c r="N12" s="43"/>
      <c r="O12" s="43"/>
      <c r="P12" s="43"/>
      <c r="Q12" s="43"/>
    </row>
    <row r="13" spans="1:17" ht="15" customHeight="1" x14ac:dyDescent="0.25">
      <c r="A13" s="10"/>
      <c r="B13" s="4" t="s">
        <v>351</v>
      </c>
      <c r="C13" s="43"/>
      <c r="D13" s="43"/>
      <c r="G13" s="239">
        <f>WACC!D17</f>
        <v>2.7E-2</v>
      </c>
      <c r="I13" s="43"/>
      <c r="J13" s="43"/>
      <c r="K13" s="43"/>
      <c r="L13" s="43"/>
      <c r="M13" s="43"/>
      <c r="N13" s="43"/>
      <c r="O13" s="43"/>
      <c r="P13" s="43"/>
      <c r="Q13" s="43"/>
    </row>
    <row r="14" spans="1:17" ht="15" customHeight="1" x14ac:dyDescent="0.25">
      <c r="A14" s="10"/>
      <c r="B14" s="4" t="s">
        <v>572</v>
      </c>
      <c r="C14" s="43"/>
      <c r="D14" s="43"/>
      <c r="G14" s="235">
        <f>SUM(G12:G13)</f>
        <v>5.6999999999999995E-2</v>
      </c>
      <c r="I14" s="43"/>
      <c r="J14" s="43"/>
      <c r="K14" s="43"/>
      <c r="L14" s="43"/>
      <c r="M14" s="43"/>
      <c r="N14" s="43"/>
      <c r="O14" s="43"/>
      <c r="P14" s="43"/>
      <c r="Q14" s="43"/>
    </row>
    <row r="15" spans="1:17" ht="15" customHeight="1" x14ac:dyDescent="0.25">
      <c r="A15" s="10"/>
      <c r="B15" s="43" t="s">
        <v>573</v>
      </c>
      <c r="C15" s="43"/>
      <c r="D15" s="43"/>
      <c r="G15" s="50">
        <v>7.2499999999999995E-2</v>
      </c>
      <c r="H15" s="43"/>
      <c r="I15" s="43"/>
      <c r="J15" s="43"/>
      <c r="K15" s="43"/>
      <c r="L15" s="43"/>
      <c r="M15" s="43"/>
      <c r="N15" s="43"/>
      <c r="O15" s="43"/>
      <c r="P15" s="43"/>
      <c r="Q15" s="43"/>
    </row>
    <row r="16" spans="1:17" ht="15" customHeight="1" x14ac:dyDescent="0.25">
      <c r="A16" s="10"/>
      <c r="B16" s="43" t="s">
        <v>65</v>
      </c>
      <c r="C16" s="43"/>
      <c r="D16" s="43"/>
      <c r="G16" s="50">
        <v>0.03</v>
      </c>
      <c r="H16" s="43"/>
      <c r="I16" s="43"/>
      <c r="J16" s="43"/>
      <c r="K16" s="43"/>
      <c r="L16" s="43"/>
      <c r="M16" s="43"/>
      <c r="N16" s="43"/>
      <c r="O16" s="43"/>
      <c r="P16" s="43"/>
      <c r="Q16" s="43"/>
    </row>
    <row r="17" spans="1:17" ht="15" customHeight="1" x14ac:dyDescent="0.25">
      <c r="A17" s="10"/>
      <c r="B17" s="4" t="s">
        <v>574</v>
      </c>
      <c r="C17" s="43"/>
      <c r="D17" s="43"/>
      <c r="G17" s="50">
        <v>0.01</v>
      </c>
      <c r="H17" s="43"/>
      <c r="I17" s="43"/>
      <c r="J17" s="43"/>
      <c r="K17" s="43"/>
      <c r="L17" s="43"/>
      <c r="M17" s="43"/>
      <c r="N17" s="43"/>
      <c r="O17" s="43"/>
      <c r="P17" s="43"/>
      <c r="Q17" s="43"/>
    </row>
    <row r="18" spans="1:17" ht="15" customHeight="1" x14ac:dyDescent="0.25">
      <c r="A18" s="10"/>
      <c r="B18" s="4" t="s">
        <v>575</v>
      </c>
      <c r="C18" s="43"/>
      <c r="D18" s="43"/>
      <c r="G18" s="14">
        <v>4</v>
      </c>
      <c r="H18" s="43"/>
      <c r="I18" s="43"/>
      <c r="J18" s="43"/>
      <c r="K18" s="43"/>
      <c r="L18" s="43"/>
      <c r="M18" s="43"/>
      <c r="N18" s="43"/>
      <c r="O18" s="43"/>
      <c r="P18" s="43"/>
      <c r="Q18" s="43"/>
    </row>
    <row r="19" spans="1:17" ht="15" customHeight="1" x14ac:dyDescent="0.25">
      <c r="A19" s="10"/>
      <c r="B19" s="43"/>
      <c r="C19" s="43"/>
      <c r="D19" s="43"/>
      <c r="E19" s="43"/>
      <c r="F19" s="43"/>
      <c r="G19" s="43"/>
      <c r="H19" s="43"/>
      <c r="I19" s="43"/>
      <c r="J19" s="43"/>
      <c r="K19" s="43"/>
      <c r="L19" s="43"/>
      <c r="M19" s="43"/>
      <c r="N19" s="43"/>
      <c r="O19" s="43"/>
      <c r="P19" s="43"/>
      <c r="Q19" s="43"/>
    </row>
    <row r="20" spans="1:17" ht="15" customHeight="1" x14ac:dyDescent="0.25">
      <c r="A20" s="10" t="s">
        <v>576</v>
      </c>
      <c r="B20" s="43"/>
      <c r="C20" s="43"/>
      <c r="D20" s="43"/>
      <c r="E20" s="43"/>
      <c r="F20" s="43"/>
      <c r="G20" s="43"/>
      <c r="H20" s="43"/>
      <c r="I20" s="43"/>
      <c r="J20" s="43"/>
      <c r="K20" s="43"/>
      <c r="L20" s="43"/>
      <c r="M20" s="43"/>
      <c r="N20" s="43"/>
      <c r="O20" s="43"/>
      <c r="P20" s="43"/>
      <c r="Q20" s="43"/>
    </row>
    <row r="21" spans="1:17" ht="15" customHeight="1" x14ac:dyDescent="0.25">
      <c r="A21" s="10"/>
      <c r="B21" s="4" t="s">
        <v>75</v>
      </c>
      <c r="C21" s="43"/>
      <c r="D21" s="43"/>
      <c r="E21" s="43"/>
      <c r="F21" s="43"/>
      <c r="I21" s="230">
        <f>'Red Bull Model'!I54</f>
        <v>13252.445163238548</v>
      </c>
      <c r="J21" s="230">
        <f>'Red Bull Model'!J54</f>
        <v>14351.414504060773</v>
      </c>
      <c r="K21" s="230">
        <f>'Red Bull Model'!K54</f>
        <v>15456.125760964436</v>
      </c>
      <c r="L21" s="230">
        <f>'Red Bull Model'!L54</f>
        <v>16603.762145851819</v>
      </c>
      <c r="M21" s="230">
        <f>'Red Bull Model'!M54</f>
        <v>17718.971108773767</v>
      </c>
      <c r="N21" s="230">
        <f>'Red Bull Model'!N54</f>
        <v>18653.216999910408</v>
      </c>
      <c r="O21" s="230">
        <f>'Red Bull Model'!O54</f>
        <v>19264.340206356883</v>
      </c>
      <c r="P21" s="230">
        <f>'Red Bull Model'!P54</f>
        <v>19765.213051722159</v>
      </c>
    </row>
    <row r="22" spans="1:17" ht="15" customHeight="1" x14ac:dyDescent="0.25">
      <c r="A22" s="10"/>
      <c r="B22" s="43" t="s">
        <v>577</v>
      </c>
      <c r="C22" s="43"/>
      <c r="D22" s="43"/>
      <c r="E22" s="43"/>
      <c r="F22" s="43"/>
      <c r="G22" s="44">
        <v>0.01</v>
      </c>
      <c r="H22" s="44">
        <v>0.01</v>
      </c>
      <c r="I22" s="44">
        <v>0.01</v>
      </c>
      <c r="J22" s="44">
        <v>0.01</v>
      </c>
      <c r="K22" s="44">
        <v>0.01</v>
      </c>
      <c r="L22" s="44">
        <v>0.01</v>
      </c>
      <c r="M22" s="44">
        <v>0.01</v>
      </c>
      <c r="N22" s="44">
        <v>0.01</v>
      </c>
      <c r="O22" s="44">
        <v>0.01</v>
      </c>
      <c r="P22" s="44">
        <v>0.01</v>
      </c>
    </row>
    <row r="23" spans="1:17" ht="15" customHeight="1" x14ac:dyDescent="0.25">
      <c r="A23" s="10"/>
      <c r="B23" s="43" t="s">
        <v>578</v>
      </c>
      <c r="C23" s="43"/>
      <c r="D23" s="43"/>
      <c r="E23" s="43"/>
      <c r="F23" s="43"/>
      <c r="I23">
        <f t="shared" ref="I23:O23" si="0">I21*I22</f>
        <v>132.52445163238548</v>
      </c>
      <c r="J23">
        <f t="shared" si="0"/>
        <v>143.51414504060773</v>
      </c>
      <c r="K23">
        <f t="shared" si="0"/>
        <v>154.56125760964437</v>
      </c>
      <c r="L23">
        <f t="shared" si="0"/>
        <v>166.0376214585182</v>
      </c>
      <c r="M23">
        <f t="shared" si="0"/>
        <v>177.18971108773766</v>
      </c>
      <c r="N23">
        <f t="shared" si="0"/>
        <v>186.53216999910407</v>
      </c>
      <c r="O23">
        <f t="shared" si="0"/>
        <v>192.64340206356883</v>
      </c>
      <c r="P23">
        <f t="shared" ref="P23" si="1">P21*P22</f>
        <v>197.65213051722159</v>
      </c>
    </row>
    <row r="24" spans="1:17" ht="15" customHeight="1" x14ac:dyDescent="0.25">
      <c r="A24" s="10"/>
      <c r="B24" s="43" t="s">
        <v>18</v>
      </c>
      <c r="C24" s="43"/>
      <c r="D24" s="43"/>
      <c r="E24" s="43"/>
      <c r="F24" s="43"/>
      <c r="I24" s="230">
        <f>'Red Bull Model'!I60</f>
        <v>4174.5202264201425</v>
      </c>
      <c r="J24" s="230">
        <f>'Red Bull Model'!J60</f>
        <v>4664.2097138197514</v>
      </c>
      <c r="K24" s="230">
        <f>'Red Bull Model'!K60</f>
        <v>5162.346004162122</v>
      </c>
      <c r="L24" s="230">
        <f>'Red Bull Model'!L60</f>
        <v>5545.6565567145071</v>
      </c>
      <c r="M24" s="230">
        <f>'Red Bull Model'!M60</f>
        <v>5918.1363503304383</v>
      </c>
      <c r="N24" s="230">
        <f>'Red Bull Model'!N60</f>
        <v>6230.1744779700748</v>
      </c>
      <c r="O24" s="230">
        <f>'Red Bull Model'!O60</f>
        <v>6434.2896289231976</v>
      </c>
      <c r="P24" s="230">
        <f>'Red Bull Model'!P60</f>
        <v>6601.5811592752016</v>
      </c>
    </row>
    <row r="25" spans="1:17" ht="15" customHeight="1" x14ac:dyDescent="0.25">
      <c r="A25" s="10"/>
      <c r="B25" s="4" t="s">
        <v>579</v>
      </c>
      <c r="C25" s="43"/>
      <c r="D25" s="43"/>
      <c r="E25" s="43"/>
      <c r="F25" s="43"/>
      <c r="I25">
        <f t="shared" ref="I25:O25" si="2">I24+I23</f>
        <v>4307.0446780525281</v>
      </c>
      <c r="J25">
        <f t="shared" si="2"/>
        <v>4807.7238588603595</v>
      </c>
      <c r="K25">
        <f t="shared" si="2"/>
        <v>5316.9072617717666</v>
      </c>
      <c r="L25">
        <f t="shared" si="2"/>
        <v>5711.6941781730256</v>
      </c>
      <c r="M25">
        <f t="shared" si="2"/>
        <v>6095.3260614181763</v>
      </c>
      <c r="N25">
        <f t="shared" si="2"/>
        <v>6416.7066479691784</v>
      </c>
      <c r="O25">
        <f t="shared" si="2"/>
        <v>6626.9330309867664</v>
      </c>
      <c r="P25">
        <f t="shared" ref="P25" si="3">P24+P23</f>
        <v>6799.2332897924234</v>
      </c>
    </row>
    <row r="26" spans="1:17" ht="15" customHeight="1" x14ac:dyDescent="0.25">
      <c r="A26" s="9"/>
      <c r="B26" s="43" t="s">
        <v>580</v>
      </c>
      <c r="C26" s="43"/>
      <c r="D26" s="43"/>
      <c r="E26" s="43"/>
      <c r="F26" s="43"/>
      <c r="G26" s="63"/>
      <c r="H26" s="63"/>
      <c r="I26" s="63">
        <f t="shared" ref="I26:O26" si="4">I25/I21</f>
        <v>0.32500000000000001</v>
      </c>
      <c r="J26" s="63">
        <f t="shared" si="4"/>
        <v>0.33500000000000002</v>
      </c>
      <c r="K26" s="63">
        <f t="shared" si="4"/>
        <v>0.34400000000000003</v>
      </c>
      <c r="L26" s="63">
        <f t="shared" si="4"/>
        <v>0.34399999999999997</v>
      </c>
      <c r="M26" s="63">
        <f t="shared" si="4"/>
        <v>0.34400000000000003</v>
      </c>
      <c r="N26" s="63">
        <f t="shared" si="4"/>
        <v>0.34399999999999992</v>
      </c>
      <c r="O26" s="63">
        <f t="shared" si="4"/>
        <v>0.34399999999999992</v>
      </c>
      <c r="P26" s="63">
        <f t="shared" ref="P26" si="5">P25/P21</f>
        <v>0.34400000000000003</v>
      </c>
    </row>
    <row r="27" spans="1:17" ht="15" customHeight="1" x14ac:dyDescent="0.25">
      <c r="A27" s="10"/>
      <c r="B27" s="4" t="s">
        <v>316</v>
      </c>
      <c r="C27" s="43"/>
      <c r="D27" s="43"/>
      <c r="E27" s="43"/>
      <c r="F27" s="117"/>
      <c r="G27" s="63"/>
      <c r="H27" s="63"/>
      <c r="I27" s="234">
        <f>'Red Bull Model'!I19</f>
        <v>0.255</v>
      </c>
      <c r="J27" s="234">
        <f>'Red Bull Model'!J19</f>
        <v>0.255</v>
      </c>
      <c r="K27" s="234">
        <f>'Red Bull Model'!K19</f>
        <v>0.255</v>
      </c>
      <c r="L27" s="234">
        <f>'Red Bull Model'!L19</f>
        <v>0.255</v>
      </c>
      <c r="M27" s="234">
        <f>'Red Bull Model'!M19</f>
        <v>0.255</v>
      </c>
      <c r="N27" s="234">
        <f>'Red Bull Model'!N19</f>
        <v>0.255</v>
      </c>
      <c r="O27" s="234">
        <f>'Red Bull Model'!O19</f>
        <v>0.255</v>
      </c>
      <c r="P27" s="234">
        <f>'Red Bull Model'!P19</f>
        <v>0.255</v>
      </c>
    </row>
    <row r="28" spans="1:17" ht="15" customHeight="1" x14ac:dyDescent="0.25">
      <c r="A28" s="10"/>
      <c r="B28" s="43"/>
      <c r="C28" s="43"/>
      <c r="D28" s="43"/>
      <c r="E28" s="43"/>
      <c r="F28" s="43"/>
      <c r="G28" s="43"/>
      <c r="H28" s="43"/>
      <c r="I28" s="43"/>
      <c r="J28" s="43"/>
      <c r="K28" s="43"/>
      <c r="L28" s="43"/>
      <c r="M28" s="43"/>
      <c r="N28" s="43"/>
      <c r="O28" s="43"/>
      <c r="P28" s="43"/>
    </row>
    <row r="29" spans="1:17" ht="15" customHeight="1" x14ac:dyDescent="0.25">
      <c r="A29" s="10" t="s">
        <v>74</v>
      </c>
      <c r="B29" s="43"/>
      <c r="C29" s="43"/>
      <c r="D29" s="43"/>
      <c r="E29" s="43"/>
      <c r="F29" s="43"/>
      <c r="G29" s="43"/>
      <c r="H29" s="43"/>
      <c r="I29" s="43"/>
      <c r="J29" s="43"/>
      <c r="K29" s="43"/>
      <c r="L29" s="43"/>
      <c r="M29" s="43"/>
      <c r="N29" s="43"/>
      <c r="O29" s="43"/>
      <c r="P29" s="43"/>
    </row>
    <row r="30" spans="1:17" ht="15" customHeight="1" x14ac:dyDescent="0.25">
      <c r="A30" s="10"/>
      <c r="B30" s="4" t="s">
        <v>75</v>
      </c>
      <c r="C30" s="43"/>
      <c r="D30" s="43"/>
      <c r="E30" s="43"/>
      <c r="F30" s="4"/>
      <c r="I30">
        <f t="shared" ref="I30:O30" si="6">I21</f>
        <v>13252.445163238548</v>
      </c>
      <c r="J30">
        <f t="shared" si="6"/>
        <v>14351.414504060773</v>
      </c>
      <c r="K30">
        <f t="shared" si="6"/>
        <v>15456.125760964436</v>
      </c>
      <c r="L30">
        <f t="shared" si="6"/>
        <v>16603.762145851819</v>
      </c>
      <c r="M30">
        <f t="shared" si="6"/>
        <v>17718.971108773767</v>
      </c>
      <c r="N30">
        <f t="shared" si="6"/>
        <v>18653.216999910408</v>
      </c>
      <c r="O30">
        <f t="shared" si="6"/>
        <v>19264.340206356883</v>
      </c>
      <c r="P30">
        <f t="shared" ref="P30" si="7">P21</f>
        <v>19765.213051722159</v>
      </c>
    </row>
    <row r="31" spans="1:17" ht="15" customHeight="1" x14ac:dyDescent="0.25">
      <c r="A31" s="10"/>
      <c r="B31" s="4" t="s">
        <v>581</v>
      </c>
      <c r="C31" s="43"/>
      <c r="D31" s="43"/>
      <c r="E31" s="43"/>
      <c r="F31" s="4"/>
      <c r="I31" s="230">
        <f>'Red Bull Model'!I63</f>
        <v>3621.1793112201426</v>
      </c>
      <c r="J31" s="230">
        <f>'Red Bull Model'!J63</f>
        <v>4051.7384881167136</v>
      </c>
      <c r="K31" s="230">
        <f>'Red Bull Model'!K63</f>
        <v>4502.7309779558</v>
      </c>
      <c r="L31" s="230">
        <f>'Red Bull Model'!L63</f>
        <v>4877.0560510469195</v>
      </c>
      <c r="M31" s="230">
        <f>'Red Bull Model'!M63</f>
        <v>5191.8026050828139</v>
      </c>
      <c r="N31" s="230">
        <f>'Red Bull Model'!N63</f>
        <v>5464.1271862048616</v>
      </c>
      <c r="O31" s="230">
        <f>'Red Bull Model'!O63</f>
        <v>5626.6615942412063</v>
      </c>
      <c r="P31" s="230">
        <f>'Red Bull Model'!P63</f>
        <v>5765.9765940584575</v>
      </c>
    </row>
    <row r="32" spans="1:17" ht="15" customHeight="1" x14ac:dyDescent="0.25">
      <c r="A32" s="10"/>
      <c r="B32" s="43" t="s">
        <v>578</v>
      </c>
      <c r="C32" s="43"/>
      <c r="D32" s="43"/>
      <c r="E32" s="43"/>
      <c r="F32" s="43"/>
      <c r="I32">
        <f t="shared" ref="I32:O32" si="8">I23</f>
        <v>132.52445163238548</v>
      </c>
      <c r="J32">
        <f t="shared" si="8"/>
        <v>143.51414504060773</v>
      </c>
      <c r="K32">
        <f t="shared" si="8"/>
        <v>154.56125760964437</v>
      </c>
      <c r="L32">
        <f t="shared" si="8"/>
        <v>166.0376214585182</v>
      </c>
      <c r="M32">
        <f t="shared" si="8"/>
        <v>177.18971108773766</v>
      </c>
      <c r="N32">
        <f t="shared" si="8"/>
        <v>186.53216999910407</v>
      </c>
      <c r="O32">
        <f t="shared" si="8"/>
        <v>192.64340206356883</v>
      </c>
      <c r="P32">
        <f t="shared" ref="P32" si="9">P23</f>
        <v>197.65213051722159</v>
      </c>
    </row>
    <row r="33" spans="1:16" ht="15" customHeight="1" x14ac:dyDescent="0.25">
      <c r="A33" s="10"/>
      <c r="B33" s="4" t="s">
        <v>86</v>
      </c>
      <c r="C33" s="43"/>
      <c r="D33" s="43"/>
      <c r="E33" s="43"/>
      <c r="F33" s="43"/>
      <c r="I33">
        <f t="shared" ref="I33:O33" ca="1" si="10">IF(Circswitch=1,I50+I57,0)</f>
        <v>-1344.5769672532704</v>
      </c>
      <c r="J33">
        <f t="shared" ca="1" si="10"/>
        <v>-1250.1949980829329</v>
      </c>
      <c r="K33">
        <f t="shared" ca="1" si="10"/>
        <v>-1131.8263421786244</v>
      </c>
      <c r="L33">
        <f t="shared" ca="1" si="10"/>
        <v>-991.19236711201904</v>
      </c>
      <c r="M33">
        <f t="shared" ca="1" si="10"/>
        <v>-827.00349824742398</v>
      </c>
      <c r="N33">
        <f t="shared" ca="1" si="10"/>
        <v>-639.48259077271871</v>
      </c>
      <c r="O33">
        <f t="shared" ca="1" si="10"/>
        <v>-401.49671525034967</v>
      </c>
      <c r="P33">
        <f t="shared" ref="P33" ca="1" si="11">IF(Circswitch=1,P50+P57,0)</f>
        <v>-131.06146372059908</v>
      </c>
    </row>
    <row r="34" spans="1:16" ht="15" customHeight="1" x14ac:dyDescent="0.25">
      <c r="A34" s="10"/>
      <c r="B34" s="4" t="s">
        <v>85</v>
      </c>
      <c r="C34" s="43"/>
      <c r="D34" s="43"/>
      <c r="E34" s="43"/>
      <c r="F34" s="43"/>
      <c r="I34">
        <f t="shared" ref="I34:O34" ca="1" si="12">IF(Circswitch=1,I60,0)</f>
        <v>0</v>
      </c>
      <c r="J34">
        <f t="shared" ca="1" si="12"/>
        <v>0</v>
      </c>
      <c r="K34">
        <f t="shared" ca="1" si="12"/>
        <v>0</v>
      </c>
      <c r="L34">
        <f t="shared" ca="1" si="12"/>
        <v>0</v>
      </c>
      <c r="M34">
        <f t="shared" ca="1" si="12"/>
        <v>0</v>
      </c>
      <c r="N34">
        <f t="shared" ca="1" si="12"/>
        <v>0</v>
      </c>
      <c r="O34">
        <f t="shared" ca="1" si="12"/>
        <v>0</v>
      </c>
      <c r="P34">
        <f t="shared" ref="P34" ca="1" si="13">IF(Circswitch=1,P60,0)</f>
        <v>8.3460059990417772</v>
      </c>
    </row>
    <row r="35" spans="1:16" ht="15" customHeight="1" x14ac:dyDescent="0.25">
      <c r="A35" s="10"/>
      <c r="B35" s="4" t="s">
        <v>88</v>
      </c>
      <c r="C35" s="43"/>
      <c r="D35" s="43"/>
      <c r="E35" s="43"/>
      <c r="F35" s="4"/>
      <c r="I35">
        <f t="shared" ref="I35:O35" ca="1" si="14">SUM(I31:I34)</f>
        <v>2409.126795599258</v>
      </c>
      <c r="J35">
        <f t="shared" ca="1" si="14"/>
        <v>2945.0576350743886</v>
      </c>
      <c r="K35">
        <f t="shared" ca="1" si="14"/>
        <v>3525.4658933868204</v>
      </c>
      <c r="L35">
        <f t="shared" ca="1" si="14"/>
        <v>4051.9013053934191</v>
      </c>
      <c r="M35">
        <f t="shared" ca="1" si="14"/>
        <v>4541.9888179231275</v>
      </c>
      <c r="N35">
        <f t="shared" ca="1" si="14"/>
        <v>5011.1767654312462</v>
      </c>
      <c r="O35">
        <f t="shared" ca="1" si="14"/>
        <v>5417.8082810544256</v>
      </c>
      <c r="P35">
        <f t="shared" ref="P35" ca="1" si="15">SUM(P31:P34)</f>
        <v>5840.9132668541224</v>
      </c>
    </row>
    <row r="36" spans="1:16" ht="15" customHeight="1" x14ac:dyDescent="0.25">
      <c r="A36" s="10"/>
      <c r="B36" s="4" t="s">
        <v>89</v>
      </c>
      <c r="C36" s="43"/>
      <c r="D36" s="43"/>
      <c r="E36" s="43"/>
      <c r="F36" s="4"/>
      <c r="I36">
        <f t="shared" ref="I36:O36" ca="1" si="16">I35*I27*-1</f>
        <v>-614.32733287781082</v>
      </c>
      <c r="J36">
        <f t="shared" ca="1" si="16"/>
        <v>-750.98969694396908</v>
      </c>
      <c r="K36">
        <f t="shared" ca="1" si="16"/>
        <v>-898.99380281363926</v>
      </c>
      <c r="L36">
        <f t="shared" ca="1" si="16"/>
        <v>-1033.2348328753219</v>
      </c>
      <c r="M36">
        <f t="shared" ca="1" si="16"/>
        <v>-1158.2071485703975</v>
      </c>
      <c r="N36">
        <f t="shared" ca="1" si="16"/>
        <v>-1277.8500751849679</v>
      </c>
      <c r="O36">
        <f t="shared" ca="1" si="16"/>
        <v>-1381.5411116688786</v>
      </c>
      <c r="P36">
        <f t="shared" ref="P36" ca="1" si="17">P35*P27*-1</f>
        <v>-1489.4328830478012</v>
      </c>
    </row>
    <row r="37" spans="1:16" ht="15" customHeight="1" x14ac:dyDescent="0.25">
      <c r="A37" s="10"/>
      <c r="B37" s="4" t="s">
        <v>72</v>
      </c>
      <c r="C37" s="43"/>
      <c r="D37" s="43"/>
      <c r="E37" s="43"/>
      <c r="F37" s="4"/>
      <c r="I37">
        <f t="shared" ref="I37:O37" ca="1" si="18">SUM(I35:I36)</f>
        <v>1794.7994627214471</v>
      </c>
      <c r="J37">
        <f t="shared" ca="1" si="18"/>
        <v>2194.0679381304194</v>
      </c>
      <c r="K37">
        <f t="shared" ca="1" si="18"/>
        <v>2626.472090573181</v>
      </c>
      <c r="L37">
        <f t="shared" ca="1" si="18"/>
        <v>3018.6664725180972</v>
      </c>
      <c r="M37">
        <f t="shared" ca="1" si="18"/>
        <v>3383.7816693527302</v>
      </c>
      <c r="N37">
        <f t="shared" ca="1" si="18"/>
        <v>3733.3266902462783</v>
      </c>
      <c r="O37">
        <f t="shared" ca="1" si="18"/>
        <v>4036.2671693855473</v>
      </c>
      <c r="P37">
        <f t="shared" ref="P37" ca="1" si="19">SUM(P35:P36)</f>
        <v>4351.4803838063217</v>
      </c>
    </row>
    <row r="38" spans="1:16" ht="15" customHeight="1" x14ac:dyDescent="0.25">
      <c r="A38" s="10"/>
      <c r="B38" s="43"/>
      <c r="C38" s="43"/>
      <c r="D38" s="43"/>
      <c r="E38" s="43"/>
      <c r="F38" s="43"/>
      <c r="G38" s="43"/>
      <c r="H38" s="43"/>
      <c r="I38" s="43"/>
      <c r="J38" s="43"/>
      <c r="K38" s="43"/>
      <c r="L38" s="43"/>
      <c r="M38" s="43"/>
      <c r="N38" s="43"/>
      <c r="O38" s="43"/>
      <c r="P38" s="43"/>
    </row>
    <row r="39" spans="1:16" ht="15" customHeight="1" x14ac:dyDescent="0.25">
      <c r="A39" s="10" t="s">
        <v>582</v>
      </c>
      <c r="B39" s="43"/>
      <c r="C39" s="43"/>
      <c r="D39" s="43"/>
      <c r="E39" s="43"/>
      <c r="F39" s="43"/>
      <c r="G39" s="43"/>
      <c r="H39" s="43"/>
      <c r="I39" s="43"/>
      <c r="J39" s="43"/>
      <c r="K39" s="43"/>
      <c r="L39" s="43"/>
      <c r="M39" s="43"/>
      <c r="N39" s="43"/>
      <c r="O39" s="43"/>
      <c r="P39" s="43"/>
    </row>
    <row r="40" spans="1:16" ht="15" customHeight="1" x14ac:dyDescent="0.25">
      <c r="A40" s="10"/>
      <c r="B40" s="4" t="s">
        <v>72</v>
      </c>
      <c r="C40" s="43"/>
      <c r="D40" s="43"/>
      <c r="E40" s="43"/>
      <c r="F40" s="4"/>
      <c r="I40">
        <f t="shared" ref="I40:O40" ca="1" si="20">I37</f>
        <v>1794.7994627214471</v>
      </c>
      <c r="J40">
        <f t="shared" ca="1" si="20"/>
        <v>2194.0679381304194</v>
      </c>
      <c r="K40">
        <f t="shared" ca="1" si="20"/>
        <v>2626.472090573181</v>
      </c>
      <c r="L40">
        <f t="shared" ca="1" si="20"/>
        <v>3018.6664725180972</v>
      </c>
      <c r="M40">
        <f t="shared" ca="1" si="20"/>
        <v>3383.7816693527302</v>
      </c>
      <c r="N40">
        <f t="shared" ca="1" si="20"/>
        <v>3733.3266902462783</v>
      </c>
      <c r="O40">
        <f t="shared" ca="1" si="20"/>
        <v>4036.2671693855473</v>
      </c>
      <c r="P40">
        <f t="shared" ref="P40" ca="1" si="21">P37</f>
        <v>4351.4803838063217</v>
      </c>
    </row>
    <row r="41" spans="1:16" ht="15" customHeight="1" x14ac:dyDescent="0.25">
      <c r="A41" s="10"/>
      <c r="B41" s="4" t="s">
        <v>69</v>
      </c>
      <c r="C41" s="43"/>
      <c r="D41" s="43"/>
      <c r="E41" s="43"/>
      <c r="F41" s="4"/>
      <c r="I41" s="230">
        <f>'Red Bull Model'!I98</f>
        <v>553.34091520000004</v>
      </c>
      <c r="J41" s="230">
        <f>'Red Bull Model'!J98</f>
        <v>612.4712257030377</v>
      </c>
      <c r="K41" s="230">
        <f>'Red Bull Model'!K98</f>
        <v>659.61502620632177</v>
      </c>
      <c r="L41" s="230">
        <f>'Red Bull Model'!L98</f>
        <v>668.60050566758798</v>
      </c>
      <c r="M41" s="230">
        <f>'Red Bull Model'!M98</f>
        <v>726.33374524762405</v>
      </c>
      <c r="N41" s="230">
        <f>'Red Bull Model'!N98</f>
        <v>766.04729176521334</v>
      </c>
      <c r="O41" s="230">
        <f>'Red Bull Model'!O98</f>
        <v>807.62803468199081</v>
      </c>
      <c r="P41" s="230">
        <f>'Red Bull Model'!P98</f>
        <v>835.60456521674439</v>
      </c>
    </row>
    <row r="42" spans="1:16" ht="15" customHeight="1" x14ac:dyDescent="0.25">
      <c r="A42" s="10"/>
      <c r="B42" s="4" t="s">
        <v>319</v>
      </c>
      <c r="C42" s="43"/>
      <c r="D42" s="43"/>
      <c r="E42" s="43"/>
      <c r="F42" s="43"/>
      <c r="I42" s="230">
        <f>SUM('Red Bull Model'!I99:I102)</f>
        <v>4.5079714077916151</v>
      </c>
      <c r="J42" s="230">
        <f>SUM('Red Bull Model'!J99:J102)</f>
        <v>-56.585501746230648</v>
      </c>
      <c r="K42" s="230">
        <f>SUM('Red Bull Model'!K99:K102)</f>
        <v>-34.687110354166748</v>
      </c>
      <c r="L42" s="230">
        <f>SUM('Red Bull Model'!L99:L102)</f>
        <v>-16.428493454894578</v>
      </c>
      <c r="M42" s="230">
        <f>SUM('Red Bull Model'!M99:M102)</f>
        <v>-15.964292688403248</v>
      </c>
      <c r="N42" s="230">
        <f>SUM('Red Bull Model'!N99:N102)</f>
        <v>-13.373793921065726</v>
      </c>
      <c r="O42" s="230">
        <f>SUM('Red Bull Model'!O99:O102)</f>
        <v>-8.7482705580350739</v>
      </c>
      <c r="P42" s="230">
        <f>SUM('Red Bull Model'!P99:P102)</f>
        <v>-7.1700290877636235</v>
      </c>
    </row>
    <row r="43" spans="1:16" ht="15" customHeight="1" x14ac:dyDescent="0.25">
      <c r="A43" s="10"/>
      <c r="B43" s="4" t="s">
        <v>106</v>
      </c>
      <c r="C43" s="43"/>
      <c r="D43" s="43"/>
      <c r="E43" s="43"/>
      <c r="F43" s="4"/>
      <c r="I43" s="230">
        <f>'Red Bull Model'!I105</f>
        <v>-901.16627110022137</v>
      </c>
      <c r="J43" s="230">
        <f>'Red Bull Model'!J105</f>
        <v>-889.78769925176789</v>
      </c>
      <c r="K43" s="230">
        <f>'Red Bull Model'!K105</f>
        <v>-958.27979717979508</v>
      </c>
      <c r="L43" s="230">
        <f>'Red Bull Model'!L105</f>
        <v>-1029.4332530428128</v>
      </c>
      <c r="M43" s="230">
        <f>'Red Bull Model'!M105</f>
        <v>-974.54341098255713</v>
      </c>
      <c r="N43" s="230">
        <f>'Red Bull Model'!N105</f>
        <v>-1025.9269349950725</v>
      </c>
      <c r="O43" s="230">
        <f>'Red Bull Model'!O105</f>
        <v>-982.48135052420093</v>
      </c>
      <c r="P43" s="230">
        <f>'Red Bull Model'!P105</f>
        <v>-1008.0258656378301</v>
      </c>
    </row>
    <row r="44" spans="1:16" ht="15" customHeight="1" x14ac:dyDescent="0.25">
      <c r="A44" s="10"/>
      <c r="B44" s="43" t="s">
        <v>583</v>
      </c>
      <c r="C44" s="43"/>
      <c r="D44" s="43"/>
      <c r="E44" s="43"/>
      <c r="F44" s="4"/>
      <c r="I44">
        <f t="shared" ref="I44:O44" ca="1" si="22">SUM(I40:I43)</f>
        <v>1451.4820782290171</v>
      </c>
      <c r="J44">
        <f t="shared" ca="1" si="22"/>
        <v>1860.1659628354589</v>
      </c>
      <c r="K44">
        <f t="shared" ca="1" si="22"/>
        <v>2293.1202092455414</v>
      </c>
      <c r="L44">
        <f t="shared" ca="1" si="22"/>
        <v>2641.4052316879779</v>
      </c>
      <c r="M44">
        <f t="shared" ca="1" si="22"/>
        <v>3119.6077109293938</v>
      </c>
      <c r="N44">
        <f t="shared" ca="1" si="22"/>
        <v>3460.0732530953528</v>
      </c>
      <c r="O44">
        <f t="shared" ca="1" si="22"/>
        <v>3852.6655829853016</v>
      </c>
      <c r="P44">
        <f t="shared" ref="P44" ca="1" si="23">SUM(P40:P43)</f>
        <v>4171.8890542974723</v>
      </c>
    </row>
    <row r="45" spans="1:16" ht="15" customHeight="1" x14ac:dyDescent="0.25">
      <c r="A45" s="10"/>
      <c r="B45" s="43"/>
      <c r="C45" s="43"/>
      <c r="D45" s="43"/>
      <c r="E45" s="43"/>
      <c r="F45" s="4"/>
    </row>
    <row r="46" spans="1:16" ht="15" customHeight="1" x14ac:dyDescent="0.25">
      <c r="A46" s="10" t="s">
        <v>584</v>
      </c>
      <c r="B46" s="43"/>
      <c r="C46" s="43"/>
      <c r="D46" s="43"/>
      <c r="E46" s="43"/>
      <c r="F46" s="43"/>
      <c r="G46" s="43"/>
      <c r="H46" s="43"/>
      <c r="I46" s="43"/>
      <c r="J46" s="43"/>
      <c r="K46" s="43"/>
      <c r="L46" s="43"/>
      <c r="M46" s="43"/>
      <c r="N46" s="43"/>
      <c r="O46" s="43"/>
      <c r="P46" s="43"/>
    </row>
    <row r="47" spans="1:16" ht="15" customHeight="1" x14ac:dyDescent="0.25">
      <c r="A47" s="10"/>
      <c r="B47" s="4" t="s">
        <v>585</v>
      </c>
      <c r="C47" s="43"/>
      <c r="D47" s="43"/>
      <c r="E47" s="43"/>
      <c r="I47">
        <f t="shared" ref="I47:P47" si="24">H49</f>
        <v>14862.672455579599</v>
      </c>
      <c r="J47">
        <f t="shared" ca="1" si="24"/>
        <v>13411.190377350582</v>
      </c>
      <c r="K47">
        <f t="shared" ca="1" si="24"/>
        <v>11551.024414515123</v>
      </c>
      <c r="L47">
        <f t="shared" ca="1" si="24"/>
        <v>9257.9042052695804</v>
      </c>
      <c r="M47">
        <f t="shared" ca="1" si="24"/>
        <v>6616.4989735816025</v>
      </c>
      <c r="N47">
        <f t="shared" ca="1" si="24"/>
        <v>3496.8912626522088</v>
      </c>
      <c r="O47">
        <f t="shared" ca="1" si="24"/>
        <v>36.818009556855941</v>
      </c>
      <c r="P47">
        <f t="shared" ca="1" si="24"/>
        <v>0</v>
      </c>
    </row>
    <row r="48" spans="1:16" ht="15" customHeight="1" x14ac:dyDescent="0.25">
      <c r="A48" s="10"/>
      <c r="B48" s="4" t="s">
        <v>586</v>
      </c>
      <c r="C48" s="43"/>
      <c r="D48" s="43"/>
      <c r="E48" s="43"/>
      <c r="I48">
        <f t="shared" ref="I48:O48" ca="1" si="25">-MIN(I44,I47)</f>
        <v>-1451.4820782290171</v>
      </c>
      <c r="J48">
        <f t="shared" ca="1" si="25"/>
        <v>-1860.1659628354589</v>
      </c>
      <c r="K48">
        <f t="shared" ca="1" si="25"/>
        <v>-2293.1202092455414</v>
      </c>
      <c r="L48">
        <f t="shared" ca="1" si="25"/>
        <v>-2641.4052316879779</v>
      </c>
      <c r="M48">
        <f t="shared" ca="1" si="25"/>
        <v>-3119.6077109293938</v>
      </c>
      <c r="N48">
        <f t="shared" ca="1" si="25"/>
        <v>-3460.0732530953528</v>
      </c>
      <c r="O48">
        <f t="shared" ca="1" si="25"/>
        <v>-36.818009556855941</v>
      </c>
      <c r="P48">
        <f t="shared" ref="P48" ca="1" si="26">-MIN(P44,P47)</f>
        <v>0</v>
      </c>
    </row>
    <row r="49" spans="1:16" ht="15" customHeight="1" x14ac:dyDescent="0.25">
      <c r="A49" s="10"/>
      <c r="B49" s="4" t="s">
        <v>587</v>
      </c>
      <c r="C49" s="43"/>
      <c r="D49" s="43"/>
      <c r="E49" s="62"/>
      <c r="H49">
        <f>P7</f>
        <v>14862.672455579599</v>
      </c>
      <c r="I49">
        <f t="shared" ref="I49:O49" ca="1" si="27">SUM(I47:I48)</f>
        <v>13411.190377350582</v>
      </c>
      <c r="J49">
        <f t="shared" ca="1" si="27"/>
        <v>11551.024414515123</v>
      </c>
      <c r="K49">
        <f t="shared" ca="1" si="27"/>
        <v>9257.9042052695804</v>
      </c>
      <c r="L49">
        <f t="shared" ca="1" si="27"/>
        <v>6616.4989735816025</v>
      </c>
      <c r="M49">
        <f t="shared" ca="1" si="27"/>
        <v>3496.8912626522088</v>
      </c>
      <c r="N49">
        <f t="shared" ca="1" si="27"/>
        <v>36.818009556855941</v>
      </c>
      <c r="O49">
        <f t="shared" ca="1" si="27"/>
        <v>0</v>
      </c>
      <c r="P49">
        <f t="shared" ref="P49" ca="1" si="28">SUM(P47:P48)</f>
        <v>0</v>
      </c>
    </row>
    <row r="50" spans="1:16" ht="15" customHeight="1" x14ac:dyDescent="0.25">
      <c r="A50" s="10"/>
      <c r="B50" s="4" t="s">
        <v>86</v>
      </c>
      <c r="C50" s="43"/>
      <c r="D50" s="43"/>
      <c r="E50" s="43"/>
      <c r="I50">
        <f t="shared" ref="I50:P50" ca="1" si="29">$G$14*AVERAGE(H49:I49)*-1</f>
        <v>-805.80509073850999</v>
      </c>
      <c r="J50">
        <f t="shared" ca="1" si="29"/>
        <v>-711.42312156817252</v>
      </c>
      <c r="K50">
        <f t="shared" ca="1" si="29"/>
        <v>-593.05446566386399</v>
      </c>
      <c r="L50">
        <f t="shared" ca="1" si="29"/>
        <v>-452.42049059725866</v>
      </c>
      <c r="M50">
        <f t="shared" ca="1" si="29"/>
        <v>-288.2316217326636</v>
      </c>
      <c r="N50">
        <f t="shared" ca="1" si="29"/>
        <v>-100.71071425795833</v>
      </c>
      <c r="O50">
        <f t="shared" ca="1" si="29"/>
        <v>-1.0493132723703942</v>
      </c>
      <c r="P50">
        <f t="shared" ca="1" si="29"/>
        <v>0</v>
      </c>
    </row>
    <row r="51" spans="1:16" ht="15" customHeight="1" x14ac:dyDescent="0.25">
      <c r="A51" s="10"/>
      <c r="B51" s="43"/>
      <c r="C51" s="43"/>
      <c r="D51" s="43"/>
      <c r="E51" s="43"/>
    </row>
    <row r="52" spans="1:16" ht="15" customHeight="1" x14ac:dyDescent="0.25">
      <c r="A52" s="10"/>
      <c r="B52" s="43" t="s">
        <v>588</v>
      </c>
      <c r="C52" s="43"/>
      <c r="D52" s="43"/>
      <c r="I52">
        <f t="shared" ref="I52:O52" ca="1" si="30">I44+I48</f>
        <v>0</v>
      </c>
      <c r="J52">
        <f t="shared" ca="1" si="30"/>
        <v>0</v>
      </c>
      <c r="K52">
        <f t="shared" ca="1" si="30"/>
        <v>0</v>
      </c>
      <c r="L52">
        <f t="shared" ca="1" si="30"/>
        <v>0</v>
      </c>
      <c r="M52">
        <f t="shared" ca="1" si="30"/>
        <v>0</v>
      </c>
      <c r="N52">
        <f t="shared" ca="1" si="30"/>
        <v>0</v>
      </c>
      <c r="O52">
        <f t="shared" ca="1" si="30"/>
        <v>3815.8475734284457</v>
      </c>
      <c r="P52">
        <f t="shared" ref="P52" ca="1" si="31">P44+P48</f>
        <v>4171.8890542974723</v>
      </c>
    </row>
    <row r="53" spans="1:16" ht="15" customHeight="1" x14ac:dyDescent="0.25">
      <c r="A53" s="10"/>
      <c r="B53" s="43"/>
      <c r="C53" s="43"/>
      <c r="D53" s="43"/>
      <c r="E53" s="43"/>
    </row>
    <row r="54" spans="1:16" ht="15" customHeight="1" x14ac:dyDescent="0.25">
      <c r="A54" s="10"/>
      <c r="B54" s="43" t="s">
        <v>589</v>
      </c>
      <c r="C54" s="43"/>
      <c r="D54" s="43"/>
      <c r="E54" s="43"/>
      <c r="I54">
        <f t="shared" ref="I54:P54" si="32">H56</f>
        <v>7431.3362277897995</v>
      </c>
      <c r="J54">
        <f t="shared" ca="1" si="32"/>
        <v>7431.3362277897995</v>
      </c>
      <c r="K54">
        <f t="shared" ca="1" si="32"/>
        <v>7431.3362277897995</v>
      </c>
      <c r="L54">
        <f t="shared" ca="1" si="32"/>
        <v>7431.3362277897995</v>
      </c>
      <c r="M54">
        <f t="shared" ca="1" si="32"/>
        <v>7431.3362277897995</v>
      </c>
      <c r="N54">
        <f t="shared" ca="1" si="32"/>
        <v>7431.3362277897995</v>
      </c>
      <c r="O54">
        <f t="shared" ca="1" si="32"/>
        <v>7431.3362277897995</v>
      </c>
      <c r="P54">
        <f t="shared" ca="1" si="32"/>
        <v>3615.4886543613538</v>
      </c>
    </row>
    <row r="55" spans="1:16" ht="15" customHeight="1" x14ac:dyDescent="0.25">
      <c r="A55" s="10"/>
      <c r="B55" s="43" t="s">
        <v>586</v>
      </c>
      <c r="C55" s="43"/>
      <c r="D55" s="43"/>
      <c r="E55" s="43"/>
      <c r="I55">
        <f t="shared" ref="I55:O55" ca="1" si="33">-MIN(I52,I54)</f>
        <v>0</v>
      </c>
      <c r="J55">
        <f t="shared" ca="1" si="33"/>
        <v>0</v>
      </c>
      <c r="K55">
        <f t="shared" ca="1" si="33"/>
        <v>0</v>
      </c>
      <c r="L55">
        <f t="shared" ca="1" si="33"/>
        <v>0</v>
      </c>
      <c r="M55">
        <f t="shared" ca="1" si="33"/>
        <v>0</v>
      </c>
      <c r="N55">
        <f t="shared" ca="1" si="33"/>
        <v>0</v>
      </c>
      <c r="O55">
        <f t="shared" ca="1" si="33"/>
        <v>-3815.8475734284457</v>
      </c>
      <c r="P55">
        <f t="shared" ref="P55" ca="1" si="34">-MIN(P52,P54)</f>
        <v>-3615.4886543613538</v>
      </c>
    </row>
    <row r="56" spans="1:16" ht="15" customHeight="1" x14ac:dyDescent="0.25">
      <c r="A56" s="10"/>
      <c r="B56" s="43" t="s">
        <v>590</v>
      </c>
      <c r="C56" s="43"/>
      <c r="D56" s="43"/>
      <c r="E56" s="62"/>
      <c r="H56">
        <f>P8</f>
        <v>7431.3362277897995</v>
      </c>
      <c r="I56">
        <f t="shared" ref="I56:O56" ca="1" si="35">SUM(I54:I55)</f>
        <v>7431.3362277897995</v>
      </c>
      <c r="J56">
        <f t="shared" ca="1" si="35"/>
        <v>7431.3362277897995</v>
      </c>
      <c r="K56">
        <f t="shared" ca="1" si="35"/>
        <v>7431.3362277897995</v>
      </c>
      <c r="L56">
        <f t="shared" ca="1" si="35"/>
        <v>7431.3362277897995</v>
      </c>
      <c r="M56">
        <f t="shared" ca="1" si="35"/>
        <v>7431.3362277897995</v>
      </c>
      <c r="N56">
        <f t="shared" ca="1" si="35"/>
        <v>7431.3362277897995</v>
      </c>
      <c r="O56">
        <f t="shared" ca="1" si="35"/>
        <v>3615.4886543613538</v>
      </c>
      <c r="P56">
        <f t="shared" ref="P56" ca="1" si="36">SUM(P54:P55)</f>
        <v>0</v>
      </c>
    </row>
    <row r="57" spans="1:16" ht="15" customHeight="1" x14ac:dyDescent="0.25">
      <c r="A57" s="10"/>
      <c r="B57" s="43" t="s">
        <v>86</v>
      </c>
      <c r="C57" s="43"/>
      <c r="D57" s="43"/>
      <c r="E57" s="43"/>
      <c r="I57">
        <f t="shared" ref="I57:P57" ca="1" si="37">$G$15*AVERAGE(H56:I56)*-1</f>
        <v>-538.77187651476038</v>
      </c>
      <c r="J57">
        <f t="shared" ca="1" si="37"/>
        <v>-538.77187651476038</v>
      </c>
      <c r="K57">
        <f t="shared" ca="1" si="37"/>
        <v>-538.77187651476038</v>
      </c>
      <c r="L57">
        <f t="shared" ca="1" si="37"/>
        <v>-538.77187651476038</v>
      </c>
      <c r="M57">
        <f t="shared" ca="1" si="37"/>
        <v>-538.77187651476038</v>
      </c>
      <c r="N57">
        <f t="shared" ca="1" si="37"/>
        <v>-538.77187651476038</v>
      </c>
      <c r="O57">
        <f t="shared" ca="1" si="37"/>
        <v>-400.44740197797927</v>
      </c>
      <c r="P57">
        <f t="shared" ca="1" si="37"/>
        <v>-131.06146372059908</v>
      </c>
    </row>
    <row r="58" spans="1:16" ht="15" customHeight="1" x14ac:dyDescent="0.25">
      <c r="A58" s="10"/>
      <c r="B58" s="43"/>
      <c r="C58" s="43"/>
      <c r="D58" s="43"/>
      <c r="E58" s="43"/>
      <c r="F58" s="43"/>
      <c r="G58" s="43"/>
      <c r="H58" s="43"/>
      <c r="I58" s="43"/>
      <c r="J58" s="43"/>
      <c r="K58" s="43"/>
      <c r="L58" s="43"/>
      <c r="M58" s="43"/>
      <c r="N58" s="43"/>
      <c r="O58" s="43"/>
      <c r="P58" s="43"/>
    </row>
    <row r="59" spans="1:16" ht="15" customHeight="1" x14ac:dyDescent="0.25">
      <c r="A59" s="10"/>
      <c r="B59" s="43" t="s">
        <v>591</v>
      </c>
      <c r="C59" s="43"/>
      <c r="D59" s="43"/>
      <c r="E59" s="3"/>
      <c r="F59" s="3"/>
      <c r="H59" s="3">
        <v>0</v>
      </c>
      <c r="I59">
        <f t="shared" ref="I59:P59" ca="1" si="38">H59+I44+I48+I55</f>
        <v>0</v>
      </c>
      <c r="J59">
        <f t="shared" ca="1" si="38"/>
        <v>0</v>
      </c>
      <c r="K59">
        <f t="shared" ca="1" si="38"/>
        <v>0</v>
      </c>
      <c r="L59">
        <f t="shared" ca="1" si="38"/>
        <v>0</v>
      </c>
      <c r="M59">
        <f t="shared" ca="1" si="38"/>
        <v>0</v>
      </c>
      <c r="N59">
        <f t="shared" ca="1" si="38"/>
        <v>0</v>
      </c>
      <c r="O59">
        <f t="shared" ca="1" si="38"/>
        <v>0</v>
      </c>
      <c r="P59">
        <f t="shared" ca="1" si="38"/>
        <v>556.40039993611845</v>
      </c>
    </row>
    <row r="60" spans="1:16" ht="15" customHeight="1" x14ac:dyDescent="0.25">
      <c r="A60" s="10"/>
      <c r="B60" s="43" t="s">
        <v>85</v>
      </c>
      <c r="C60" s="43"/>
      <c r="D60" s="43"/>
      <c r="E60" s="3"/>
      <c r="F60" s="43"/>
      <c r="I60">
        <f t="shared" ref="I60:P60" ca="1" si="39">$G$16*AVERAGE(H59:I59)</f>
        <v>0</v>
      </c>
      <c r="J60">
        <f t="shared" ca="1" si="39"/>
        <v>0</v>
      </c>
      <c r="K60">
        <f t="shared" ca="1" si="39"/>
        <v>0</v>
      </c>
      <c r="L60">
        <f t="shared" ca="1" si="39"/>
        <v>0</v>
      </c>
      <c r="M60">
        <f t="shared" ca="1" si="39"/>
        <v>0</v>
      </c>
      <c r="N60">
        <f t="shared" ca="1" si="39"/>
        <v>0</v>
      </c>
      <c r="O60">
        <f t="shared" ca="1" si="39"/>
        <v>0</v>
      </c>
      <c r="P60">
        <f t="shared" ca="1" si="39"/>
        <v>8.3460059990417772</v>
      </c>
    </row>
    <row r="61" spans="1:16" ht="15" customHeight="1" x14ac:dyDescent="0.25">
      <c r="A61" s="10"/>
      <c r="B61" s="43"/>
      <c r="C61" s="43"/>
      <c r="D61" s="43"/>
      <c r="E61" s="3"/>
      <c r="F61" s="43"/>
    </row>
    <row r="62" spans="1:16" ht="15" customHeight="1" x14ac:dyDescent="0.25">
      <c r="A62" s="10"/>
      <c r="B62" s="43" t="s">
        <v>592</v>
      </c>
      <c r="C62" s="43"/>
      <c r="D62" s="43"/>
      <c r="E62" s="3"/>
      <c r="F62" s="43"/>
      <c r="I62">
        <f t="shared" ref="I62:P62" si="40">H65</f>
        <v>0</v>
      </c>
      <c r="J62">
        <f t="shared" ca="1" si="40"/>
        <v>1451.4820782290171</v>
      </c>
      <c r="K62">
        <f t="shared" ca="1" si="40"/>
        <v>3311.6480410644763</v>
      </c>
      <c r="L62">
        <f t="shared" ca="1" si="40"/>
        <v>5604.7682503100177</v>
      </c>
      <c r="M62">
        <f t="shared" ca="1" si="40"/>
        <v>8246.1734819979956</v>
      </c>
      <c r="N62">
        <f t="shared" ca="1" si="40"/>
        <v>11365.781192927388</v>
      </c>
      <c r="O62">
        <f t="shared" ca="1" si="40"/>
        <v>14825.854446022742</v>
      </c>
      <c r="P62">
        <f t="shared" ca="1" si="40"/>
        <v>18678.520029008047</v>
      </c>
    </row>
    <row r="63" spans="1:16" ht="15" customHeight="1" x14ac:dyDescent="0.25">
      <c r="A63" s="10"/>
      <c r="B63" s="43" t="s">
        <v>593</v>
      </c>
      <c r="C63" s="43"/>
      <c r="D63" s="43"/>
      <c r="E63" s="3"/>
      <c r="F63" s="43"/>
      <c r="I63">
        <f t="shared" ref="I63:O63" ca="1" si="41">I48*-1</f>
        <v>1451.4820782290171</v>
      </c>
      <c r="J63">
        <f t="shared" ca="1" si="41"/>
        <v>1860.1659628354589</v>
      </c>
      <c r="K63">
        <f t="shared" ca="1" si="41"/>
        <v>2293.1202092455414</v>
      </c>
      <c r="L63">
        <f t="shared" ca="1" si="41"/>
        <v>2641.4052316879779</v>
      </c>
      <c r="M63">
        <f t="shared" ca="1" si="41"/>
        <v>3119.6077109293938</v>
      </c>
      <c r="N63">
        <f t="shared" ca="1" si="41"/>
        <v>3460.0732530953528</v>
      </c>
      <c r="O63">
        <f t="shared" ca="1" si="41"/>
        <v>36.818009556855941</v>
      </c>
      <c r="P63">
        <f t="shared" ref="P63" ca="1" si="42">P48*-1</f>
        <v>0</v>
      </c>
    </row>
    <row r="64" spans="1:16" ht="15" customHeight="1" x14ac:dyDescent="0.25">
      <c r="A64" s="10"/>
      <c r="B64" s="43" t="s">
        <v>594</v>
      </c>
      <c r="C64" s="43"/>
      <c r="D64" s="43"/>
      <c r="E64" s="3"/>
      <c r="F64" s="43"/>
      <c r="I64">
        <f t="shared" ref="I64:O64" ca="1" si="43">I55*-1</f>
        <v>0</v>
      </c>
      <c r="J64">
        <f t="shared" ca="1" si="43"/>
        <v>0</v>
      </c>
      <c r="K64">
        <f t="shared" ca="1" si="43"/>
        <v>0</v>
      </c>
      <c r="L64">
        <f t="shared" ca="1" si="43"/>
        <v>0</v>
      </c>
      <c r="M64">
        <f t="shared" ca="1" si="43"/>
        <v>0</v>
      </c>
      <c r="N64">
        <f t="shared" ca="1" si="43"/>
        <v>0</v>
      </c>
      <c r="O64">
        <f t="shared" ca="1" si="43"/>
        <v>3815.8475734284457</v>
      </c>
      <c r="P64">
        <f t="shared" ref="P64" ca="1" si="44">P55*-1</f>
        <v>3615.4886543613538</v>
      </c>
    </row>
    <row r="65" spans="1:17" ht="15" customHeight="1" x14ac:dyDescent="0.25">
      <c r="A65" s="10"/>
      <c r="B65" s="43" t="s">
        <v>595</v>
      </c>
      <c r="C65" s="43"/>
      <c r="D65" s="43"/>
      <c r="E65" s="3"/>
      <c r="F65" s="55"/>
      <c r="H65" s="55">
        <v>0</v>
      </c>
      <c r="I65">
        <f t="shared" ref="I65:O65" ca="1" si="45">SUM(I62:I64)</f>
        <v>1451.4820782290171</v>
      </c>
      <c r="J65">
        <f t="shared" ca="1" si="45"/>
        <v>3311.6480410644763</v>
      </c>
      <c r="K65">
        <f t="shared" ca="1" si="45"/>
        <v>5604.7682503100177</v>
      </c>
      <c r="L65">
        <f t="shared" ca="1" si="45"/>
        <v>8246.1734819979956</v>
      </c>
      <c r="M65">
        <f t="shared" ca="1" si="45"/>
        <v>11365.781192927388</v>
      </c>
      <c r="N65">
        <f t="shared" ca="1" si="45"/>
        <v>14825.854446022742</v>
      </c>
      <c r="O65">
        <f t="shared" ca="1" si="45"/>
        <v>18678.520029008047</v>
      </c>
      <c r="P65">
        <f t="shared" ref="P65" ca="1" si="46">SUM(P62:P64)</f>
        <v>22294.0086833694</v>
      </c>
    </row>
    <row r="66" spans="1:17" ht="15" customHeight="1" x14ac:dyDescent="0.25">
      <c r="A66" s="10"/>
      <c r="B66" s="43"/>
      <c r="C66" s="43"/>
      <c r="D66" s="43"/>
      <c r="E66" s="3"/>
      <c r="F66" s="43"/>
      <c r="G66" s="43"/>
      <c r="H66" s="43"/>
      <c r="I66" s="43"/>
      <c r="J66" s="43"/>
      <c r="K66" s="43"/>
      <c r="L66" s="43"/>
      <c r="M66" s="43"/>
      <c r="N66" s="43"/>
      <c r="O66" s="43"/>
      <c r="P66" s="43"/>
    </row>
    <row r="67" spans="1:17" ht="15" customHeight="1" x14ac:dyDescent="0.25">
      <c r="A67" s="10"/>
      <c r="B67" s="43" t="s">
        <v>596</v>
      </c>
      <c r="C67" s="43"/>
      <c r="D67" s="43"/>
      <c r="E67" s="3"/>
      <c r="H67">
        <f t="shared" ref="H67:P67" si="47">$P$7+$P$8</f>
        <v>22294.0086833694</v>
      </c>
      <c r="I67">
        <f t="shared" si="47"/>
        <v>22294.0086833694</v>
      </c>
      <c r="J67">
        <f t="shared" si="47"/>
        <v>22294.0086833694</v>
      </c>
      <c r="K67">
        <f t="shared" si="47"/>
        <v>22294.0086833694</v>
      </c>
      <c r="L67">
        <f t="shared" si="47"/>
        <v>22294.0086833694</v>
      </c>
      <c r="M67">
        <f t="shared" si="47"/>
        <v>22294.0086833694</v>
      </c>
      <c r="N67">
        <f t="shared" si="47"/>
        <v>22294.0086833694</v>
      </c>
      <c r="O67">
        <f t="shared" si="47"/>
        <v>22294.0086833694</v>
      </c>
      <c r="P67">
        <f t="shared" si="47"/>
        <v>22294.0086833694</v>
      </c>
    </row>
    <row r="68" spans="1:17" ht="15" customHeight="1" x14ac:dyDescent="0.25">
      <c r="A68" s="10"/>
      <c r="B68" s="43" t="s">
        <v>597</v>
      </c>
      <c r="C68" s="43"/>
      <c r="D68" s="43"/>
      <c r="E68" s="3"/>
      <c r="F68" s="43"/>
      <c r="G68" s="63"/>
      <c r="H68" s="63"/>
      <c r="I68" s="63">
        <f t="shared" ref="I68:O68" ca="1" si="48">I65/I67</f>
        <v>6.5106374490280658E-2</v>
      </c>
      <c r="J68" s="63">
        <f t="shared" ca="1" si="48"/>
        <v>0.14854430569657295</v>
      </c>
      <c r="K68" s="63">
        <f t="shared" ca="1" si="48"/>
        <v>0.25140244313670657</v>
      </c>
      <c r="L68" s="63">
        <f t="shared" ca="1" si="48"/>
        <v>0.36988294026050911</v>
      </c>
      <c r="M68" s="63">
        <f t="shared" ca="1" si="48"/>
        <v>0.50981325764916785</v>
      </c>
      <c r="N68" s="63">
        <f t="shared" ca="1" si="48"/>
        <v>0.66501519114785057</v>
      </c>
      <c r="O68" s="63">
        <f t="shared" ca="1" si="48"/>
        <v>0.83782689305856461</v>
      </c>
      <c r="P68" s="63">
        <f t="shared" ref="P68" ca="1" si="49">P65/P67</f>
        <v>1</v>
      </c>
    </row>
    <row r="69" spans="1:17" ht="15" customHeight="1" x14ac:dyDescent="0.25">
      <c r="A69" s="10"/>
      <c r="B69" s="43"/>
      <c r="C69" s="43"/>
      <c r="D69" s="43"/>
      <c r="E69" s="43"/>
      <c r="F69" s="43"/>
      <c r="G69" s="43"/>
      <c r="H69" s="43"/>
      <c r="I69" s="43"/>
      <c r="J69" s="43"/>
      <c r="K69" s="43"/>
      <c r="L69" s="43"/>
      <c r="M69" s="43"/>
      <c r="N69" s="43"/>
      <c r="O69" s="43"/>
      <c r="P69" s="43"/>
    </row>
    <row r="70" spans="1:17" ht="15" customHeight="1" x14ac:dyDescent="0.25">
      <c r="A70" s="10" t="s">
        <v>598</v>
      </c>
      <c r="B70" s="43"/>
      <c r="C70" s="43"/>
      <c r="D70" s="43"/>
      <c r="E70" s="43"/>
      <c r="F70" s="43"/>
      <c r="G70" s="43"/>
      <c r="H70" s="43"/>
      <c r="I70" s="43"/>
      <c r="J70" s="43"/>
      <c r="K70" s="43"/>
      <c r="L70" s="43"/>
      <c r="M70" s="43"/>
      <c r="N70" s="43"/>
      <c r="O70" s="43"/>
      <c r="P70" s="43"/>
    </row>
    <row r="71" spans="1:17" ht="15" customHeight="1" x14ac:dyDescent="0.25">
      <c r="A71" s="10"/>
      <c r="B71" s="4" t="s">
        <v>599</v>
      </c>
      <c r="C71" s="43"/>
      <c r="D71" s="43"/>
      <c r="E71" s="43"/>
      <c r="G71" s="55"/>
      <c r="I71" s="55">
        <v>1</v>
      </c>
      <c r="J71">
        <f t="shared" ref="J71:P71" si="50">I71+1</f>
        <v>2</v>
      </c>
      <c r="K71">
        <f t="shared" si="50"/>
        <v>3</v>
      </c>
      <c r="L71">
        <f t="shared" si="50"/>
        <v>4</v>
      </c>
      <c r="M71">
        <f t="shared" si="50"/>
        <v>5</v>
      </c>
      <c r="N71">
        <f t="shared" si="50"/>
        <v>6</v>
      </c>
      <c r="O71">
        <f t="shared" si="50"/>
        <v>7</v>
      </c>
      <c r="P71">
        <f t="shared" si="50"/>
        <v>8</v>
      </c>
    </row>
    <row r="72" spans="1:17" ht="15" customHeight="1" x14ac:dyDescent="0.25">
      <c r="A72" s="10"/>
      <c r="B72" s="4" t="s">
        <v>337</v>
      </c>
      <c r="C72" s="43"/>
      <c r="D72" s="43"/>
      <c r="E72" s="43"/>
      <c r="F72" s="4"/>
      <c r="I72">
        <f t="shared" ref="I72:P72" si="51">$H$10*I25</f>
        <v>107676.1169513132</v>
      </c>
      <c r="J72">
        <f t="shared" si="51"/>
        <v>120193.09647150899</v>
      </c>
      <c r="K72">
        <f t="shared" si="51"/>
        <v>132922.68154429417</v>
      </c>
      <c r="L72">
        <f t="shared" si="51"/>
        <v>142792.35445432563</v>
      </c>
      <c r="M72">
        <f t="shared" si="51"/>
        <v>152383.15153545441</v>
      </c>
      <c r="N72">
        <f t="shared" si="51"/>
        <v>160417.66619922945</v>
      </c>
      <c r="O72">
        <f t="shared" si="51"/>
        <v>165673.32577466915</v>
      </c>
      <c r="P72">
        <f t="shared" si="51"/>
        <v>169980.83224481059</v>
      </c>
    </row>
    <row r="73" spans="1:17" ht="15" customHeight="1" x14ac:dyDescent="0.25">
      <c r="A73" s="10"/>
      <c r="B73" s="4" t="s">
        <v>30</v>
      </c>
      <c r="C73" s="43"/>
      <c r="D73" s="43"/>
      <c r="E73" s="43"/>
      <c r="F73" s="43"/>
      <c r="I73">
        <f t="shared" ref="I73:O73" ca="1" si="52">I49+I56-I59</f>
        <v>20842.526605140381</v>
      </c>
      <c r="J73">
        <f t="shared" ca="1" si="52"/>
        <v>18982.36064230492</v>
      </c>
      <c r="K73">
        <f t="shared" ca="1" si="52"/>
        <v>16689.240433059378</v>
      </c>
      <c r="L73">
        <f t="shared" ca="1" si="52"/>
        <v>14047.835201371403</v>
      </c>
      <c r="M73">
        <f t="shared" ca="1" si="52"/>
        <v>10928.227490442008</v>
      </c>
      <c r="N73">
        <f t="shared" ca="1" si="52"/>
        <v>7468.1542373466555</v>
      </c>
      <c r="O73">
        <f t="shared" ca="1" si="52"/>
        <v>3615.4886543613538</v>
      </c>
      <c r="P73">
        <f t="shared" ref="P73" ca="1" si="53">P49+P56-P59</f>
        <v>-556.40039993611845</v>
      </c>
    </row>
    <row r="74" spans="1:17" ht="15" customHeight="1" x14ac:dyDescent="0.25">
      <c r="A74" s="10"/>
      <c r="B74" s="4" t="s">
        <v>600</v>
      </c>
      <c r="C74" s="43"/>
      <c r="D74" s="43"/>
      <c r="E74" s="43"/>
      <c r="F74" s="43"/>
      <c r="I74">
        <f t="shared" ref="I74:O74" ca="1" si="54">I72-I73</f>
        <v>86833.59034617283</v>
      </c>
      <c r="J74">
        <f t="shared" ca="1" si="54"/>
        <v>101210.73582920407</v>
      </c>
      <c r="K74">
        <f t="shared" ca="1" si="54"/>
        <v>116233.4411112348</v>
      </c>
      <c r="L74">
        <f t="shared" ca="1" si="54"/>
        <v>128744.51925295423</v>
      </c>
      <c r="M74">
        <f t="shared" ca="1" si="54"/>
        <v>141454.92404501239</v>
      </c>
      <c r="N74">
        <f t="shared" ca="1" si="54"/>
        <v>152949.51196188279</v>
      </c>
      <c r="O74">
        <f t="shared" ca="1" si="54"/>
        <v>162057.83712030778</v>
      </c>
      <c r="P74">
        <f t="shared" ref="P74" ca="1" si="55">P72-P73</f>
        <v>170537.23264474672</v>
      </c>
    </row>
    <row r="75" spans="1:17" ht="15" customHeight="1" x14ac:dyDescent="0.25">
      <c r="A75" s="10"/>
      <c r="B75" s="43"/>
      <c r="C75" s="43"/>
      <c r="D75" s="43"/>
      <c r="E75" s="43"/>
      <c r="F75" s="43"/>
    </row>
    <row r="76" spans="1:17" ht="15" customHeight="1" x14ac:dyDescent="0.25">
      <c r="A76" s="10"/>
      <c r="B76" s="4" t="s">
        <v>601</v>
      </c>
      <c r="C76" s="43"/>
      <c r="D76" s="43"/>
      <c r="E76" s="43"/>
      <c r="H76">
        <f>P9*-1</f>
        <v>-71526.611192476819</v>
      </c>
      <c r="I76">
        <f t="shared" ref="I76:P76" si="56">IF($G$18=I71,I74,0)</f>
        <v>0</v>
      </c>
      <c r="J76">
        <f t="shared" si="56"/>
        <v>0</v>
      </c>
      <c r="K76">
        <f t="shared" si="56"/>
        <v>0</v>
      </c>
      <c r="L76">
        <f t="shared" ca="1" si="56"/>
        <v>128744.51925295423</v>
      </c>
      <c r="M76">
        <f t="shared" si="56"/>
        <v>0</v>
      </c>
      <c r="N76">
        <f t="shared" si="56"/>
        <v>0</v>
      </c>
      <c r="O76">
        <f t="shared" si="56"/>
        <v>0</v>
      </c>
      <c r="P76">
        <f t="shared" si="56"/>
        <v>0</v>
      </c>
    </row>
    <row r="77" spans="1:17" ht="15" customHeight="1" x14ac:dyDescent="0.25">
      <c r="A77" s="10"/>
      <c r="B77" s="4" t="s">
        <v>602</v>
      </c>
      <c r="C77" s="43"/>
      <c r="D77" s="43"/>
      <c r="F77" s="63"/>
      <c r="H77" s="63">
        <f ca="1">IRR(H76:P76)</f>
        <v>0.15828458108446153</v>
      </c>
      <c r="I77" s="43"/>
      <c r="J77" s="43"/>
      <c r="K77" s="43"/>
      <c r="L77" s="43"/>
      <c r="M77" s="43"/>
      <c r="N77" s="43"/>
      <c r="O77" s="43"/>
      <c r="P77" s="43"/>
      <c r="Q77" s="43"/>
    </row>
    <row r="78" spans="1:17" ht="15" customHeight="1" x14ac:dyDescent="0.25">
      <c r="A78" s="10"/>
      <c r="B78" s="43"/>
      <c r="C78" s="43"/>
      <c r="D78" s="43"/>
      <c r="E78" s="43"/>
      <c r="F78" s="43"/>
      <c r="G78" s="43"/>
      <c r="H78" s="43"/>
      <c r="I78" s="43"/>
      <c r="J78" s="43"/>
      <c r="K78" s="43"/>
      <c r="L78" s="43"/>
      <c r="M78" s="43"/>
      <c r="N78" s="43"/>
      <c r="O78" s="43"/>
      <c r="P78" s="43"/>
      <c r="Q78" s="43"/>
    </row>
    <row r="79" spans="1:17" ht="15" customHeight="1" x14ac:dyDescent="0.25">
      <c r="A79" s="10" t="s">
        <v>603</v>
      </c>
      <c r="B79" s="43"/>
      <c r="C79" s="43"/>
      <c r="D79" s="43"/>
      <c r="E79" s="43"/>
      <c r="F79" s="43"/>
      <c r="G79" s="43"/>
      <c r="H79" s="43"/>
      <c r="I79" s="43"/>
      <c r="J79" s="43"/>
      <c r="K79" s="43"/>
      <c r="L79" s="43"/>
      <c r="M79" s="43"/>
      <c r="N79" s="43"/>
      <c r="O79" s="43"/>
      <c r="P79" s="43"/>
      <c r="Q79" s="43"/>
    </row>
    <row r="80" spans="1:17" ht="15" customHeight="1" x14ac:dyDescent="0.25">
      <c r="A80" s="10"/>
      <c r="B80" s="4" t="s">
        <v>604</v>
      </c>
      <c r="C80" s="43"/>
      <c r="D80" s="43"/>
      <c r="E80" s="43"/>
      <c r="F80" s="43"/>
      <c r="G80" s="43"/>
      <c r="H80" s="43"/>
      <c r="I80" s="43"/>
      <c r="J80" s="43"/>
      <c r="K80" s="43"/>
      <c r="L80" s="43"/>
      <c r="M80" s="43"/>
      <c r="N80" s="43"/>
      <c r="O80" s="43"/>
      <c r="P80" s="43"/>
      <c r="Q80" s="43"/>
    </row>
    <row r="81" spans="1:17" ht="15" customHeight="1" x14ac:dyDescent="0.25">
      <c r="A81" s="10"/>
      <c r="B81" s="43"/>
      <c r="C81" s="62"/>
      <c r="E81" s="121" t="s">
        <v>575</v>
      </c>
      <c r="F81" s="43"/>
      <c r="G81" s="43"/>
      <c r="H81" s="43"/>
      <c r="I81" s="43"/>
      <c r="J81" s="43"/>
      <c r="K81" s="43"/>
      <c r="L81" s="43"/>
      <c r="M81" s="43"/>
      <c r="N81" s="43"/>
      <c r="O81" s="43"/>
      <c r="P81" s="43"/>
      <c r="Q81" s="43"/>
    </row>
    <row r="82" spans="1:17" ht="15" customHeight="1" x14ac:dyDescent="0.25">
      <c r="A82" s="10"/>
      <c r="B82" s="43"/>
      <c r="C82" s="63">
        <f ca="1">H77</f>
        <v>0.15828458108446153</v>
      </c>
      <c r="D82" s="129">
        <v>3</v>
      </c>
      <c r="E82" s="129">
        <v>4</v>
      </c>
      <c r="F82" s="129">
        <v>5</v>
      </c>
      <c r="G82" s="129">
        <v>6</v>
      </c>
      <c r="H82" s="43"/>
      <c r="I82" s="43"/>
      <c r="J82" s="43"/>
      <c r="K82" s="43"/>
      <c r="L82" s="43"/>
      <c r="M82" s="43"/>
      <c r="N82" s="43"/>
      <c r="O82" s="43"/>
      <c r="P82" s="43"/>
      <c r="Q82" s="43"/>
    </row>
    <row r="83" spans="1:17" ht="15" customHeight="1" x14ac:dyDescent="0.25">
      <c r="A83" s="10"/>
      <c r="B83" s="43"/>
      <c r="C83" s="123">
        <v>11</v>
      </c>
      <c r="D83" s="63">
        <f t="dataTable" ref="D83:G103" dt2D="1" dtr="1" r1="G18" r2="H9" ca="1"/>
        <v>0.30085291975878481</v>
      </c>
      <c r="E83" s="63">
        <v>0.26604102065676782</v>
      </c>
      <c r="F83" s="63">
        <v>0.24203125644470513</v>
      </c>
      <c r="G83" s="63">
        <v>0.22164917180068056</v>
      </c>
      <c r="H83" s="43"/>
      <c r="J83" s="43"/>
      <c r="K83" s="43"/>
      <c r="L83" s="43"/>
      <c r="M83" s="43"/>
      <c r="N83" s="43"/>
      <c r="O83" s="43"/>
      <c r="P83" s="43"/>
      <c r="Q83" s="43"/>
    </row>
    <row r="84" spans="1:17" ht="15" customHeight="1" x14ac:dyDescent="0.25">
      <c r="A84" s="10"/>
      <c r="B84" s="43"/>
      <c r="C84" s="123">
        <f>C83+0.25</f>
        <v>11.25</v>
      </c>
      <c r="D84" s="63">
        <v>0.29353506499841298</v>
      </c>
      <c r="E84" s="63">
        <v>0.25992223839852491</v>
      </c>
      <c r="F84" s="63">
        <v>0.23671681327336835</v>
      </c>
      <c r="G84" s="63">
        <v>0.21694836809931095</v>
      </c>
      <c r="H84" s="43"/>
      <c r="J84" s="43"/>
      <c r="K84" s="43"/>
      <c r="L84" s="43"/>
      <c r="M84" s="43"/>
      <c r="N84" s="43"/>
      <c r="O84" s="43"/>
      <c r="P84" s="43"/>
      <c r="Q84" s="43"/>
    </row>
    <row r="85" spans="1:17" ht="15" customHeight="1" x14ac:dyDescent="0.25">
      <c r="A85" s="10"/>
      <c r="B85" s="43"/>
      <c r="C85" s="123">
        <f t="shared" ref="C85:C103" si="57">C84+1</f>
        <v>12.25</v>
      </c>
      <c r="D85" s="63">
        <v>0.26948540516460229</v>
      </c>
      <c r="E85" s="63">
        <v>0.23966949151924188</v>
      </c>
      <c r="F85" s="63">
        <v>0.21902440793260847</v>
      </c>
      <c r="G85" s="63">
        <v>0.20122480367754791</v>
      </c>
      <c r="H85" s="43"/>
      <c r="I85" s="43"/>
      <c r="J85" s="43"/>
      <c r="K85" s="43"/>
      <c r="L85" s="43"/>
      <c r="M85" s="43"/>
      <c r="N85" s="43"/>
      <c r="O85" s="43"/>
      <c r="P85" s="43"/>
      <c r="Q85" s="43"/>
    </row>
    <row r="86" spans="1:17" ht="15" customHeight="1" x14ac:dyDescent="0.25">
      <c r="A86" s="10"/>
      <c r="B86" s="43"/>
      <c r="C86" s="123">
        <f t="shared" si="57"/>
        <v>13.25</v>
      </c>
      <c r="D86" s="63">
        <v>0.2514275335803251</v>
      </c>
      <c r="E86" s="63">
        <v>0.22431077292368529</v>
      </c>
      <c r="F86" s="63">
        <v>0.20549762131096161</v>
      </c>
      <c r="G86" s="63">
        <v>0.18912241810106245</v>
      </c>
      <c r="H86" s="43"/>
      <c r="I86" s="43"/>
      <c r="J86" s="43"/>
      <c r="K86" s="43"/>
      <c r="L86" s="43"/>
      <c r="M86" s="43"/>
      <c r="N86" s="43"/>
      <c r="O86" s="43"/>
      <c r="P86" s="43"/>
      <c r="Q86" s="43"/>
    </row>
    <row r="87" spans="1:17" ht="15" customHeight="1" x14ac:dyDescent="0.25">
      <c r="A87" s="10"/>
      <c r="B87" s="43"/>
      <c r="C87" s="123">
        <f t="shared" si="57"/>
        <v>14.25</v>
      </c>
      <c r="D87" s="63">
        <v>0.2373596741454802</v>
      </c>
      <c r="E87" s="63">
        <v>0.2122504368985163</v>
      </c>
      <c r="F87" s="63">
        <v>0.1948055191608169</v>
      </c>
      <c r="G87" s="63">
        <v>0.17950352131200553</v>
      </c>
      <c r="H87" s="43"/>
      <c r="I87" s="43"/>
      <c r="J87" s="43"/>
      <c r="K87" s="43"/>
      <c r="L87" s="43"/>
      <c r="M87" s="43"/>
      <c r="N87" s="43"/>
      <c r="O87" s="43"/>
      <c r="P87" s="43"/>
      <c r="Q87" s="43"/>
    </row>
    <row r="88" spans="1:17" ht="15" customHeight="1" x14ac:dyDescent="0.25">
      <c r="A88" s="10"/>
      <c r="B88" s="43"/>
      <c r="C88" s="123">
        <f t="shared" si="57"/>
        <v>15.25</v>
      </c>
      <c r="D88" s="63">
        <v>0.22608563839712703</v>
      </c>
      <c r="E88" s="63">
        <v>0.20252237650160887</v>
      </c>
      <c r="F88" s="63">
        <v>0.18613390564123033</v>
      </c>
      <c r="G88" s="63">
        <v>0.17166641986569542</v>
      </c>
      <c r="H88" s="43"/>
      <c r="I88" s="43"/>
      <c r="J88" s="43"/>
      <c r="K88" s="43"/>
      <c r="L88" s="43"/>
      <c r="M88" s="43"/>
      <c r="N88" s="43"/>
      <c r="O88" s="43"/>
      <c r="P88" s="43"/>
      <c r="Q88" s="43"/>
    </row>
    <row r="89" spans="1:17" ht="15" customHeight="1" x14ac:dyDescent="0.25">
      <c r="A89" s="10"/>
      <c r="B89" s="4" t="s">
        <v>605</v>
      </c>
      <c r="C89" s="123">
        <f t="shared" si="57"/>
        <v>16.25</v>
      </c>
      <c r="D89" s="63">
        <v>0.21684546508347702</v>
      </c>
      <c r="E89" s="63">
        <v>0.19450607484791571</v>
      </c>
      <c r="F89" s="63">
        <v>0.17895525056390671</v>
      </c>
      <c r="G89" s="63">
        <v>0.16515327519248535</v>
      </c>
      <c r="H89" s="43"/>
      <c r="I89" s="43"/>
      <c r="J89" s="43"/>
      <c r="K89" s="43"/>
      <c r="L89" s="43"/>
      <c r="M89" s="43"/>
      <c r="N89" s="43"/>
      <c r="O89" s="43"/>
      <c r="P89" s="43"/>
      <c r="Q89" s="43"/>
    </row>
    <row r="90" spans="1:17" ht="15" customHeight="1" x14ac:dyDescent="0.25">
      <c r="A90" s="10"/>
      <c r="B90" s="43"/>
      <c r="C90" s="123">
        <f t="shared" si="57"/>
        <v>17.25</v>
      </c>
      <c r="D90" s="63">
        <v>0.20913267391907864</v>
      </c>
      <c r="E90" s="63">
        <v>0.18778415727281117</v>
      </c>
      <c r="F90" s="63">
        <v>0.17291205937418708</v>
      </c>
      <c r="G90" s="63">
        <v>0.15965192592186495</v>
      </c>
      <c r="H90" s="43"/>
      <c r="I90" s="43"/>
      <c r="J90" s="43"/>
      <c r="K90" s="43"/>
      <c r="L90" s="43"/>
      <c r="M90" s="43"/>
      <c r="N90" s="43"/>
      <c r="O90" s="43"/>
      <c r="P90" s="43"/>
      <c r="Q90" s="43"/>
    </row>
    <row r="91" spans="1:17" ht="15" customHeight="1" x14ac:dyDescent="0.25">
      <c r="A91" s="10"/>
      <c r="B91" s="43"/>
      <c r="C91" s="123">
        <f t="shared" si="57"/>
        <v>18.25</v>
      </c>
      <c r="D91" s="63">
        <v>0.202596475617973</v>
      </c>
      <c r="E91" s="63">
        <v>0.18206525842970422</v>
      </c>
      <c r="F91" s="63">
        <v>0.16775314328924251</v>
      </c>
      <c r="G91" s="63">
        <v>0.15494186197456417</v>
      </c>
      <c r="H91" s="43"/>
      <c r="I91" s="43"/>
      <c r="J91" s="43"/>
      <c r="K91" s="43"/>
      <c r="L91" s="43"/>
      <c r="M91" s="43"/>
      <c r="N91" s="43"/>
      <c r="O91" s="43"/>
      <c r="P91" s="43"/>
      <c r="Q91" s="43"/>
    </row>
    <row r="92" spans="1:17" ht="15" customHeight="1" x14ac:dyDescent="0.25">
      <c r="A92" s="10"/>
      <c r="B92" s="43"/>
      <c r="C92" s="123">
        <f t="shared" si="57"/>
        <v>19.25</v>
      </c>
      <c r="D92" s="63">
        <v>0.19698609558082114</v>
      </c>
      <c r="E92" s="63">
        <v>0.17713965510883534</v>
      </c>
      <c r="F92" s="63">
        <v>0.16329666689590305</v>
      </c>
      <c r="G92" s="63">
        <v>0.15086270109848932</v>
      </c>
      <c r="H92" s="43"/>
      <c r="I92" s="43"/>
      <c r="J92" s="43"/>
      <c r="K92" s="43"/>
      <c r="L92" s="43"/>
      <c r="M92" s="43"/>
      <c r="N92" s="43"/>
      <c r="O92" s="43"/>
      <c r="P92" s="43"/>
      <c r="Q92" s="43"/>
    </row>
    <row r="93" spans="1:17" ht="15" customHeight="1" x14ac:dyDescent="0.25">
      <c r="A93" s="10"/>
      <c r="B93" s="43"/>
      <c r="C93" s="123">
        <f t="shared" si="57"/>
        <v>20.25</v>
      </c>
      <c r="D93" s="63">
        <v>0.19211743590624408</v>
      </c>
      <c r="E93" s="63">
        <v>0.17285246100022755</v>
      </c>
      <c r="F93" s="63">
        <v>0.15940766337667567</v>
      </c>
      <c r="G93" s="63">
        <v>0.14729489866401324</v>
      </c>
      <c r="H93" s="43"/>
      <c r="I93" s="43"/>
      <c r="J93" s="43"/>
      <c r="K93" s="43"/>
      <c r="L93" s="43"/>
      <c r="M93" s="43"/>
      <c r="N93" s="43"/>
      <c r="O93" s="43"/>
      <c r="P93" s="43"/>
      <c r="Q93" s="43"/>
    </row>
    <row r="94" spans="1:17" ht="15" customHeight="1" x14ac:dyDescent="0.25">
      <c r="A94" s="10"/>
      <c r="B94" s="43"/>
      <c r="C94" s="123">
        <f t="shared" si="57"/>
        <v>21.25</v>
      </c>
      <c r="D94" s="63">
        <v>0.18785225974916897</v>
      </c>
      <c r="E94" s="63">
        <v>0.1690867571702166</v>
      </c>
      <c r="F94" s="63">
        <v>0.15598379377322358</v>
      </c>
      <c r="G94" s="63">
        <v>0.1441474675440011</v>
      </c>
      <c r="H94" s="43"/>
      <c r="I94" s="43"/>
      <c r="J94" s="43"/>
      <c r="K94" s="43"/>
      <c r="L94" s="43"/>
      <c r="M94" s="43"/>
      <c r="N94" s="43"/>
      <c r="O94" s="43"/>
      <c r="P94" s="43"/>
      <c r="Q94" s="43"/>
    </row>
    <row r="95" spans="1:17" ht="15" customHeight="1" x14ac:dyDescent="0.25">
      <c r="A95" s="10"/>
      <c r="B95" s="43"/>
      <c r="C95" s="123">
        <f t="shared" si="57"/>
        <v>22.25</v>
      </c>
      <c r="D95" s="63">
        <v>0.18408472649557339</v>
      </c>
      <c r="E95" s="63">
        <v>0.16575260283161408</v>
      </c>
      <c r="F95" s="63">
        <v>0.15294601700498589</v>
      </c>
      <c r="G95" s="63">
        <v>0.14134989518452268</v>
      </c>
      <c r="H95" s="43"/>
      <c r="I95" s="43"/>
      <c r="J95" s="43"/>
      <c r="K95" s="43"/>
      <c r="L95" s="43"/>
      <c r="M95" s="43"/>
      <c r="N95" s="43"/>
      <c r="O95" s="43"/>
      <c r="P95" s="43"/>
      <c r="Q95" s="43"/>
    </row>
    <row r="96" spans="1:17" ht="15" customHeight="1" x14ac:dyDescent="0.25">
      <c r="A96" s="10"/>
      <c r="B96" s="43"/>
      <c r="C96" s="123">
        <f t="shared" si="57"/>
        <v>23.25</v>
      </c>
      <c r="D96" s="63">
        <v>0.18073241389347583</v>
      </c>
      <c r="E96" s="63">
        <v>0.16277966183002057</v>
      </c>
      <c r="F96" s="63">
        <v>0.15023229720859432</v>
      </c>
      <c r="G96" s="63">
        <v>0.13884666886560804</v>
      </c>
      <c r="H96" s="43"/>
      <c r="I96" s="43"/>
      <c r="J96" s="43"/>
      <c r="K96" s="43"/>
      <c r="L96" s="43"/>
      <c r="M96" s="43"/>
      <c r="N96" s="43"/>
      <c r="O96" s="43"/>
      <c r="P96" s="43"/>
      <c r="Q96" s="43"/>
    </row>
    <row r="97" spans="1:17" ht="15" customHeight="1" x14ac:dyDescent="0.25">
      <c r="A97" s="10"/>
      <c r="B97" s="43"/>
      <c r="C97" s="123">
        <f t="shared" si="57"/>
        <v>24.25</v>
      </c>
      <c r="D97" s="63">
        <v>0.17773017254830559</v>
      </c>
      <c r="E97" s="63">
        <v>0.16011212663289731</v>
      </c>
      <c r="F97" s="63">
        <v>0.14779325138775956</v>
      </c>
      <c r="G97" s="63">
        <v>0.13659347434281321</v>
      </c>
      <c r="H97" s="43"/>
      <c r="I97" s="43"/>
      <c r="J97" s="43"/>
      <c r="K97" s="43"/>
      <c r="L97" s="43"/>
      <c r="M97" s="43"/>
      <c r="N97" s="43"/>
      <c r="O97" s="43"/>
      <c r="P97" s="43"/>
      <c r="Q97" s="43"/>
    </row>
    <row r="98" spans="1:17" ht="15" customHeight="1" x14ac:dyDescent="0.25">
      <c r="A98" s="10"/>
      <c r="B98" s="43"/>
      <c r="C98" s="123">
        <f t="shared" si="57"/>
        <v>25.25</v>
      </c>
      <c r="D98" s="63">
        <v>0.17502582128553534</v>
      </c>
      <c r="E98" s="63">
        <v>0.15770514450620676</v>
      </c>
      <c r="F98" s="63">
        <v>0.14558907191574733</v>
      </c>
      <c r="G98" s="63">
        <v>0.13455449834339261</v>
      </c>
      <c r="H98" s="43"/>
      <c r="I98" s="43"/>
      <c r="J98" s="43"/>
      <c r="K98" s="43"/>
      <c r="L98" s="43"/>
      <c r="M98" s="43"/>
      <c r="N98" s="43"/>
      <c r="O98" s="43"/>
      <c r="P98" s="43"/>
      <c r="Q98" s="43"/>
    </row>
    <row r="99" spans="1:17" ht="15" customHeight="1" x14ac:dyDescent="0.25">
      <c r="A99" s="10"/>
      <c r="B99" s="43"/>
      <c r="C99" s="123">
        <f t="shared" si="57"/>
        <v>26.25</v>
      </c>
      <c r="D99" s="63">
        <v>0.17257707002147971</v>
      </c>
      <c r="E99" s="63">
        <v>0.15552225082651949</v>
      </c>
      <c r="F99" s="63">
        <v>0.14358730759706106</v>
      </c>
      <c r="G99" s="63">
        <v>0.13270047720303224</v>
      </c>
      <c r="H99" s="43"/>
      <c r="I99" s="43"/>
      <c r="J99" s="43"/>
      <c r="K99" s="43"/>
      <c r="L99" s="43"/>
      <c r="M99" s="43"/>
      <c r="N99" s="43"/>
      <c r="O99" s="43"/>
      <c r="P99" s="43"/>
      <c r="Q99" s="43"/>
    </row>
    <row r="100" spans="1:17" ht="15" customHeight="1" x14ac:dyDescent="0.25">
      <c r="A100" s="10"/>
      <c r="B100" s="43"/>
      <c r="C100" s="123">
        <f t="shared" si="57"/>
        <v>27.25</v>
      </c>
      <c r="D100" s="63">
        <v>0.17034927993075288</v>
      </c>
      <c r="E100" s="63">
        <v>0.15353349279498185</v>
      </c>
      <c r="F100" s="63">
        <v>0.14176123571523358</v>
      </c>
      <c r="G100" s="63">
        <v>0.1310072608617241</v>
      </c>
      <c r="H100" s="43"/>
      <c r="I100" s="43"/>
      <c r="J100" s="43"/>
      <c r="K100" s="43"/>
      <c r="L100" s="43"/>
      <c r="M100" s="43"/>
      <c r="N100" s="43"/>
      <c r="O100" s="43"/>
      <c r="P100" s="43"/>
      <c r="Q100" s="43"/>
    </row>
    <row r="101" spans="1:17" ht="15" customHeight="1" x14ac:dyDescent="0.25">
      <c r="A101" s="73"/>
      <c r="B101" s="43"/>
      <c r="C101" s="123">
        <f t="shared" si="57"/>
        <v>28.25</v>
      </c>
      <c r="D101" s="63">
        <v>0.16831380641806226</v>
      </c>
      <c r="E101" s="63">
        <v>0.15171403590641841</v>
      </c>
      <c r="F101" s="63">
        <v>0.14008864889994688</v>
      </c>
      <c r="G101" s="63">
        <v>0.1294547397452801</v>
      </c>
      <c r="H101" s="43"/>
      <c r="I101" s="43"/>
      <c r="J101" s="43"/>
      <c r="K101" s="43"/>
      <c r="L101" s="43"/>
      <c r="M101" s="43"/>
      <c r="N101" s="43"/>
      <c r="O101" s="43"/>
      <c r="P101" s="43"/>
      <c r="Q101" s="43"/>
    </row>
    <row r="102" spans="1:17" ht="15" customHeight="1" x14ac:dyDescent="0.25">
      <c r="A102" s="73"/>
      <c r="B102" s="43"/>
      <c r="C102" s="123">
        <f t="shared" si="57"/>
        <v>29.25</v>
      </c>
      <c r="D102" s="63">
        <v>0.16644675519102781</v>
      </c>
      <c r="E102" s="63">
        <v>0.15004311404402837</v>
      </c>
      <c r="F102" s="63">
        <v>0.13855093830870957</v>
      </c>
      <c r="G102" s="63">
        <v>0.12802603163168769</v>
      </c>
      <c r="H102" s="43"/>
      <c r="I102" s="43"/>
      <c r="J102" s="43"/>
      <c r="K102" s="43"/>
      <c r="L102" s="43"/>
      <c r="M102" s="43"/>
      <c r="N102" s="43"/>
      <c r="O102" s="43"/>
      <c r="P102" s="43"/>
      <c r="Q102" s="43"/>
    </row>
    <row r="103" spans="1:17" ht="15" customHeight="1" x14ac:dyDescent="0.25">
      <c r="A103" s="73"/>
      <c r="C103" s="123">
        <f t="shared" si="57"/>
        <v>30.25</v>
      </c>
      <c r="D103" s="63">
        <v>0.16472803598883545</v>
      </c>
      <c r="E103" s="63">
        <v>0.14850322813348549</v>
      </c>
      <c r="F103" s="63">
        <v>0.13713239185115245</v>
      </c>
      <c r="G103" s="63">
        <v>0.12670685771656598</v>
      </c>
    </row>
    <row r="104" spans="1:17" ht="15" customHeight="1" x14ac:dyDescent="0.25">
      <c r="A104" s="73"/>
    </row>
    <row r="105" spans="1:17" ht="15" customHeight="1" x14ac:dyDescent="0.25">
      <c r="A105" s="73"/>
    </row>
    <row r="106" spans="1:17" ht="15" customHeight="1" x14ac:dyDescent="0.25">
      <c r="A106" s="73"/>
    </row>
    <row r="107" spans="1:17" ht="15" customHeight="1" x14ac:dyDescent="0.25">
      <c r="A107" s="73"/>
    </row>
    <row r="108" spans="1:17" ht="15" customHeight="1" x14ac:dyDescent="0.25">
      <c r="A108" s="73"/>
    </row>
    <row r="109" spans="1:17" ht="15" customHeight="1" x14ac:dyDescent="0.25">
      <c r="A109" s="73" t="s">
        <v>38</v>
      </c>
    </row>
    <row r="152" spans="2:3" ht="15" customHeight="1" thickBot="1" x14ac:dyDescent="0.3"/>
    <row r="153" spans="2:3" ht="15" customHeight="1" thickBot="1" x14ac:dyDescent="0.3">
      <c r="B153" s="173"/>
      <c r="C153" s="174"/>
    </row>
    <row r="154" spans="2:3" ht="15" customHeight="1" thickBot="1" x14ac:dyDescent="0.3">
      <c r="B154" s="173"/>
      <c r="C154" s="174"/>
    </row>
    <row r="155" spans="2:3" ht="15" customHeight="1" thickBot="1" x14ac:dyDescent="0.3">
      <c r="B155" s="173"/>
      <c r="C155" s="174"/>
    </row>
    <row r="156" spans="2:3" ht="15" customHeight="1" thickBot="1" x14ac:dyDescent="0.3">
      <c r="B156" s="173"/>
      <c r="C156" s="174"/>
    </row>
    <row r="157" spans="2:3" ht="15" customHeight="1" thickBot="1" x14ac:dyDescent="0.3">
      <c r="B157" s="173"/>
      <c r="C157" s="174"/>
    </row>
    <row r="158" spans="2:3" ht="15" customHeight="1" thickBot="1" x14ac:dyDescent="0.3">
      <c r="B158" s="173"/>
      <c r="C158" s="174"/>
    </row>
    <row r="159" spans="2:3" ht="15" customHeight="1" thickBot="1" x14ac:dyDescent="0.3">
      <c r="B159" s="173"/>
      <c r="C159" s="174"/>
    </row>
    <row r="160" spans="2:3" ht="15" customHeight="1" thickBot="1" x14ac:dyDescent="0.3">
      <c r="B160" s="173"/>
      <c r="C160" s="174"/>
    </row>
    <row r="174" spans="2:3" ht="15" customHeight="1" thickBot="1" x14ac:dyDescent="0.3"/>
    <row r="175" spans="2:3" ht="15" customHeight="1" thickBot="1" x14ac:dyDescent="0.3">
      <c r="B175" s="173"/>
      <c r="C175" s="174"/>
    </row>
    <row r="176" spans="2:3" ht="15" customHeight="1" thickBot="1" x14ac:dyDescent="0.3">
      <c r="B176" s="173"/>
      <c r="C176" s="175"/>
    </row>
    <row r="177" spans="2:3" ht="15" customHeight="1" thickBot="1" x14ac:dyDescent="0.3">
      <c r="B177" s="173"/>
      <c r="C177" s="174"/>
    </row>
    <row r="178" spans="2:3" ht="15" customHeight="1" thickBot="1" x14ac:dyDescent="0.3">
      <c r="B178" s="173"/>
      <c r="C178" s="174"/>
    </row>
    <row r="179" spans="2:3" ht="15" customHeight="1" thickBot="1" x14ac:dyDescent="0.3">
      <c r="B179" s="173"/>
      <c r="C179" s="174"/>
    </row>
    <row r="180" spans="2:3" ht="15" customHeight="1" thickBot="1" x14ac:dyDescent="0.3">
      <c r="B180" s="173"/>
      <c r="C180" s="175"/>
    </row>
    <row r="181" spans="2:3" ht="15" customHeight="1" thickBot="1" x14ac:dyDescent="0.3">
      <c r="B181" s="173"/>
      <c r="C181" s="174"/>
    </row>
    <row r="185" spans="2:3" ht="15" customHeight="1" x14ac:dyDescent="0.25">
      <c r="C185" s="63"/>
    </row>
    <row r="189" spans="2:3" ht="15" customHeight="1" x14ac:dyDescent="0.25">
      <c r="C189" s="63"/>
    </row>
    <row r="191" spans="2:3" ht="15" customHeight="1" thickBot="1" x14ac:dyDescent="0.3"/>
    <row r="192" spans="2:3" ht="15" customHeight="1" thickBot="1" x14ac:dyDescent="0.3">
      <c r="B192" s="173"/>
      <c r="C192" s="174"/>
    </row>
    <row r="193" spans="2:3" ht="15" customHeight="1" thickBot="1" x14ac:dyDescent="0.3">
      <c r="B193" s="173"/>
      <c r="C193" s="174"/>
    </row>
    <row r="194" spans="2:3" ht="15" customHeight="1" thickBot="1" x14ac:dyDescent="0.3">
      <c r="B194" s="173"/>
      <c r="C194" s="174"/>
    </row>
    <row r="195" spans="2:3" ht="15" customHeight="1" thickBot="1" x14ac:dyDescent="0.3">
      <c r="B195" s="173"/>
      <c r="C195" s="174"/>
    </row>
    <row r="196" spans="2:3" ht="15" customHeight="1" thickBot="1" x14ac:dyDescent="0.3">
      <c r="B196" s="173"/>
      <c r="C196" s="174"/>
    </row>
    <row r="197" spans="2:3" ht="15" customHeight="1" thickBot="1" x14ac:dyDescent="0.3">
      <c r="B197" s="173"/>
      <c r="C197" s="174"/>
    </row>
    <row r="198" spans="2:3" ht="15" customHeight="1" thickBot="1" x14ac:dyDescent="0.3">
      <c r="B198" s="173"/>
      <c r="C198" s="174"/>
    </row>
    <row r="201" spans="2:3" ht="15" customHeight="1" thickBot="1" x14ac:dyDescent="0.3"/>
    <row r="202" spans="2:3" ht="15" customHeight="1" thickBot="1" x14ac:dyDescent="0.3">
      <c r="B202" s="173"/>
      <c r="C202" s="174"/>
    </row>
    <row r="203" spans="2:3" ht="15" customHeight="1" thickBot="1" x14ac:dyDescent="0.3">
      <c r="B203" s="173"/>
      <c r="C203" s="174"/>
    </row>
    <row r="204" spans="2:3" ht="15" customHeight="1" thickBot="1" x14ac:dyDescent="0.3">
      <c r="B204" s="173"/>
      <c r="C204" s="174"/>
    </row>
    <row r="205" spans="2:3" ht="15" customHeight="1" thickBot="1" x14ac:dyDescent="0.3">
      <c r="B205" s="173"/>
      <c r="C205" s="174"/>
    </row>
    <row r="206" spans="2:3" ht="15" customHeight="1" thickBot="1" x14ac:dyDescent="0.3">
      <c r="B206" s="173"/>
      <c r="C206" s="174"/>
    </row>
    <row r="207" spans="2:3" ht="15" customHeight="1" thickBot="1" x14ac:dyDescent="0.3">
      <c r="B207" s="173"/>
      <c r="C207" s="174"/>
    </row>
    <row r="208" spans="2:3" ht="15" customHeight="1" thickBot="1" x14ac:dyDescent="0.3">
      <c r="B208" s="173"/>
      <c r="C208" s="174"/>
    </row>
    <row r="216" spans="2:3" ht="15" customHeight="1" x14ac:dyDescent="0.25">
      <c r="C216" s="63"/>
    </row>
    <row r="220" spans="2:3" ht="15" customHeight="1" thickBot="1" x14ac:dyDescent="0.3"/>
    <row r="221" spans="2:3" ht="15" customHeight="1" thickBot="1" x14ac:dyDescent="0.3">
      <c r="B221" s="173"/>
      <c r="C221" s="174"/>
    </row>
    <row r="222" spans="2:3" ht="15" customHeight="1" thickBot="1" x14ac:dyDescent="0.3">
      <c r="B222" s="173"/>
      <c r="C222" s="174"/>
    </row>
    <row r="223" spans="2:3" ht="15" customHeight="1" thickBot="1" x14ac:dyDescent="0.3">
      <c r="B223" s="173"/>
      <c r="C223" s="174"/>
    </row>
    <row r="224" spans="2:3" ht="15" customHeight="1" thickBot="1" x14ac:dyDescent="0.3">
      <c r="B224" s="173"/>
      <c r="C224" s="174"/>
    </row>
    <row r="225" spans="2:3" ht="15" customHeight="1" thickBot="1" x14ac:dyDescent="0.3">
      <c r="B225" s="173"/>
      <c r="C225" s="174"/>
    </row>
    <row r="226" spans="2:3" ht="15" customHeight="1" thickBot="1" x14ac:dyDescent="0.3">
      <c r="B226" s="173"/>
      <c r="C226" s="174"/>
    </row>
    <row r="233" spans="2:3" ht="15" customHeight="1" thickBot="1" x14ac:dyDescent="0.3"/>
    <row r="234" spans="2:3" ht="15" customHeight="1" thickBot="1" x14ac:dyDescent="0.3">
      <c r="B234" s="173"/>
      <c r="C234" s="174"/>
    </row>
    <row r="235" spans="2:3" ht="15" customHeight="1" thickBot="1" x14ac:dyDescent="0.3">
      <c r="B235" s="173"/>
      <c r="C235" s="174"/>
    </row>
    <row r="236" spans="2:3" ht="15" customHeight="1" thickBot="1" x14ac:dyDescent="0.3">
      <c r="B236" s="173"/>
      <c r="C236" s="174"/>
    </row>
    <row r="237" spans="2:3" ht="15" customHeight="1" thickBot="1" x14ac:dyDescent="0.3">
      <c r="B237" s="173"/>
      <c r="C237" s="174"/>
    </row>
    <row r="238" spans="2:3" ht="15" customHeight="1" thickBot="1" x14ac:dyDescent="0.3">
      <c r="B238" s="173"/>
      <c r="C238" s="174"/>
    </row>
    <row r="239" spans="2:3" ht="15" customHeight="1" thickBot="1" x14ac:dyDescent="0.3">
      <c r="B239" s="173"/>
      <c r="C239" s="176"/>
    </row>
  </sheetData>
  <printOptions gridLines="1"/>
  <pageMargins left="0.31496062992125984" right="0.11811023622047245" top="0.74803149606299213" bottom="0.74803149606299213" header="0" footer="0"/>
  <pageSetup paperSize="9" scale="66" fitToHeight="0" orientation="landscape" r:id="rId1"/>
  <headerFooter>
    <oddHeader>&amp;R&amp;F  &amp;A</oddHeader>
    <oddFooter>&amp;L© 2016&amp;CPage &amp;P of</oddFooter>
  </headerFooter>
  <rowBreaks count="2" manualBreakCount="2">
    <brk id="45" max="15" man="1"/>
    <brk id="78" max="15" man="1"/>
  </rowBreaks>
  <legacy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FE1C21-C619-4ECE-9612-B941DEDE7CC1}">
  <sheetPr>
    <tabColor theme="5"/>
    <pageSetUpPr fitToPage="1"/>
  </sheetPr>
  <dimension ref="A1:Z43"/>
  <sheetViews>
    <sheetView zoomScaleNormal="100" zoomScaleSheetLayoutView="85" workbookViewId="0"/>
  </sheetViews>
  <sheetFormatPr defaultColWidth="12.5703125" defaultRowHeight="15" customHeight="1" x14ac:dyDescent="0.25"/>
  <cols>
    <col min="1" max="1" width="1.5703125" customWidth="1"/>
    <col min="2" max="2" width="24.28515625" customWidth="1"/>
    <col min="3" max="16" width="10.28515625" customWidth="1"/>
    <col min="17" max="26" width="8" customWidth="1"/>
  </cols>
  <sheetData>
    <row r="1" spans="1:26" ht="30" customHeight="1" x14ac:dyDescent="0.45">
      <c r="A1" s="180" t="s">
        <v>606</v>
      </c>
      <c r="B1" s="72"/>
      <c r="C1" s="72"/>
      <c r="D1" s="72"/>
      <c r="E1" s="72"/>
      <c r="F1" s="72"/>
      <c r="G1" s="72"/>
      <c r="H1" s="72"/>
      <c r="I1" s="72"/>
      <c r="J1" s="72"/>
      <c r="K1" s="72"/>
      <c r="L1" s="72"/>
      <c r="M1" s="72"/>
      <c r="N1" s="72"/>
      <c r="O1" s="72"/>
      <c r="P1" s="72"/>
      <c r="Q1" s="12"/>
      <c r="R1" s="12"/>
      <c r="S1" s="12"/>
      <c r="T1" s="12"/>
      <c r="U1" s="12"/>
      <c r="V1" s="12"/>
      <c r="W1" s="12"/>
      <c r="X1" s="12"/>
      <c r="Y1" s="12"/>
      <c r="Z1" s="12"/>
    </row>
    <row r="2" spans="1:26" ht="15" customHeight="1" x14ac:dyDescent="0.3">
      <c r="A2" s="43"/>
      <c r="B2" s="43"/>
      <c r="C2" s="43"/>
      <c r="D2" s="43"/>
      <c r="E2" s="43"/>
      <c r="F2" s="43"/>
      <c r="G2" s="43"/>
      <c r="H2" s="43"/>
      <c r="I2" s="43"/>
      <c r="J2" s="43"/>
      <c r="K2" s="43"/>
      <c r="L2" s="43"/>
      <c r="M2" s="43"/>
      <c r="N2" s="43"/>
      <c r="O2" s="43"/>
      <c r="P2" s="43"/>
      <c r="Q2" s="13"/>
      <c r="R2" s="13"/>
      <c r="S2" s="13"/>
      <c r="T2" s="13"/>
      <c r="U2" s="13"/>
      <c r="V2" s="13"/>
      <c r="W2" s="13"/>
      <c r="X2" s="13"/>
      <c r="Y2" s="13"/>
      <c r="Z2" s="13"/>
    </row>
    <row r="3" spans="1:26" ht="15" customHeight="1" x14ac:dyDescent="0.3">
      <c r="A3" s="43"/>
      <c r="B3" s="167" t="s">
        <v>663</v>
      </c>
      <c r="C3" s="43"/>
      <c r="D3" s="43"/>
      <c r="E3" s="43"/>
      <c r="F3" s="43"/>
      <c r="G3" s="43"/>
      <c r="H3" s="43"/>
      <c r="I3" s="43"/>
      <c r="J3" s="43"/>
      <c r="K3" s="43"/>
      <c r="L3" s="43"/>
      <c r="M3" s="43"/>
      <c r="N3" s="43"/>
      <c r="O3" s="43"/>
      <c r="P3" s="43"/>
      <c r="Q3" s="13"/>
      <c r="R3" s="13"/>
      <c r="S3" s="13"/>
      <c r="T3" s="13"/>
      <c r="U3" s="13"/>
      <c r="V3" s="13"/>
      <c r="W3" s="13"/>
      <c r="X3" s="13"/>
      <c r="Y3" s="13"/>
      <c r="Z3" s="13"/>
    </row>
    <row r="4" spans="1:26" ht="15" customHeight="1" x14ac:dyDescent="0.3">
      <c r="A4" s="43"/>
      <c r="B4" s="43" t="s">
        <v>172</v>
      </c>
      <c r="C4" s="43" t="s">
        <v>654</v>
      </c>
      <c r="D4" s="43"/>
      <c r="E4" s="43"/>
      <c r="F4" s="43"/>
      <c r="G4" s="43"/>
      <c r="H4" s="43"/>
      <c r="I4" s="43"/>
      <c r="J4" s="43"/>
      <c r="K4" s="43"/>
      <c r="L4" s="43"/>
      <c r="M4" s="43"/>
      <c r="N4" s="43"/>
      <c r="O4" s="43"/>
      <c r="P4" s="43"/>
      <c r="Q4" s="13"/>
      <c r="R4" s="13"/>
      <c r="S4" s="13"/>
      <c r="T4" s="13"/>
      <c r="U4" s="13"/>
      <c r="V4" s="13"/>
      <c r="W4" s="13"/>
      <c r="X4" s="13"/>
      <c r="Y4" s="13"/>
      <c r="Z4" s="13"/>
    </row>
    <row r="5" spans="1:26" ht="15" customHeight="1" x14ac:dyDescent="0.25">
      <c r="A5" s="43"/>
      <c r="B5" s="43" t="s">
        <v>655</v>
      </c>
      <c r="C5" s="43" t="s">
        <v>656</v>
      </c>
      <c r="D5" s="43"/>
      <c r="E5" s="43"/>
      <c r="F5" s="43"/>
      <c r="G5" s="43"/>
      <c r="H5" s="43"/>
      <c r="I5" s="43"/>
      <c r="J5" s="43"/>
      <c r="K5" s="43"/>
      <c r="L5" s="43"/>
      <c r="M5" s="43"/>
      <c r="N5" s="43"/>
      <c r="O5" s="43"/>
      <c r="P5" s="43"/>
    </row>
    <row r="6" spans="1:26" ht="15" customHeight="1" x14ac:dyDescent="0.25">
      <c r="A6" s="43"/>
      <c r="B6" s="43" t="s">
        <v>659</v>
      </c>
      <c r="C6" s="43" t="s">
        <v>657</v>
      </c>
      <c r="D6" s="43"/>
      <c r="E6" s="43"/>
      <c r="F6" s="43"/>
      <c r="G6" s="43"/>
      <c r="H6" s="43"/>
      <c r="I6" s="43"/>
      <c r="J6" s="43"/>
      <c r="K6" s="43"/>
      <c r="L6" s="43"/>
      <c r="M6" s="43"/>
      <c r="N6" s="43"/>
      <c r="O6" s="43"/>
      <c r="P6" s="43"/>
    </row>
    <row r="7" spans="1:26" ht="15" customHeight="1" x14ac:dyDescent="0.25">
      <c r="A7" s="43"/>
      <c r="B7" s="43" t="s">
        <v>658</v>
      </c>
      <c r="C7" s="172">
        <v>0.25</v>
      </c>
      <c r="D7" s="43" t="s">
        <v>660</v>
      </c>
      <c r="E7" s="43"/>
      <c r="F7" s="43"/>
      <c r="G7" s="43"/>
      <c r="H7" s="43"/>
      <c r="I7" s="43"/>
      <c r="J7" s="43"/>
      <c r="K7" s="43"/>
      <c r="L7" s="43"/>
      <c r="M7" s="43"/>
      <c r="N7" s="43"/>
      <c r="O7" s="43"/>
      <c r="P7" s="43"/>
    </row>
    <row r="8" spans="1:26" ht="15" customHeight="1" x14ac:dyDescent="0.25">
      <c r="A8" s="43"/>
      <c r="B8" s="43" t="s">
        <v>661</v>
      </c>
      <c r="C8" s="43" t="s">
        <v>662</v>
      </c>
      <c r="D8" s="43"/>
      <c r="E8" s="43"/>
      <c r="F8" s="43"/>
      <c r="G8" s="43"/>
      <c r="H8" s="43"/>
      <c r="I8" s="43"/>
      <c r="J8" s="43"/>
      <c r="K8" s="43"/>
      <c r="L8" s="43"/>
      <c r="M8" s="43"/>
      <c r="N8" s="43"/>
      <c r="O8" s="43"/>
      <c r="P8" s="43"/>
    </row>
    <row r="9" spans="1:26" ht="15" customHeight="1" x14ac:dyDescent="0.25">
      <c r="A9" s="43"/>
      <c r="B9" s="43"/>
      <c r="C9" s="43"/>
      <c r="D9" s="43"/>
      <c r="E9" s="43"/>
      <c r="F9" s="43"/>
      <c r="G9" s="43"/>
      <c r="H9" s="43"/>
      <c r="I9" s="43"/>
      <c r="J9" s="43"/>
      <c r="K9" s="43"/>
      <c r="L9" s="43"/>
      <c r="M9" s="43"/>
      <c r="N9" s="43"/>
      <c r="O9" s="43"/>
      <c r="P9" s="43"/>
    </row>
    <row r="10" spans="1:26" ht="15" customHeight="1" x14ac:dyDescent="0.25">
      <c r="A10" s="43"/>
      <c r="B10" s="167" t="s">
        <v>664</v>
      </c>
      <c r="C10" s="43"/>
      <c r="D10" s="43"/>
      <c r="E10" s="43"/>
      <c r="F10" s="43"/>
      <c r="G10" s="43"/>
      <c r="H10" s="43"/>
      <c r="I10" s="43"/>
      <c r="J10" s="43"/>
      <c r="K10" s="43"/>
      <c r="L10" s="43"/>
      <c r="M10" s="43"/>
      <c r="N10" s="43"/>
      <c r="O10" s="43"/>
      <c r="P10" s="43"/>
    </row>
    <row r="11" spans="1:26" ht="15" customHeight="1" x14ac:dyDescent="0.25">
      <c r="A11" s="43"/>
      <c r="B11" s="43" t="s">
        <v>665</v>
      </c>
      <c r="C11" s="43"/>
      <c r="D11" s="43"/>
      <c r="E11" s="43"/>
      <c r="F11" s="43"/>
      <c r="G11" s="43"/>
      <c r="H11" s="43"/>
      <c r="I11" s="43"/>
      <c r="J11" s="43"/>
      <c r="K11" s="43"/>
      <c r="L11" s="43"/>
      <c r="M11" s="43"/>
      <c r="N11" s="43"/>
      <c r="O11" s="43"/>
      <c r="P11" s="43"/>
    </row>
    <row r="12" spans="1:26" ht="15" customHeight="1" x14ac:dyDescent="0.25">
      <c r="A12" s="43"/>
      <c r="B12" s="43" t="s">
        <v>666</v>
      </c>
      <c r="C12" s="43"/>
      <c r="D12" s="43"/>
      <c r="E12" s="43"/>
      <c r="F12" s="43"/>
      <c r="G12" s="43"/>
      <c r="H12" s="43"/>
      <c r="I12" s="43"/>
      <c r="J12" s="43"/>
      <c r="K12" s="43"/>
      <c r="L12" s="43"/>
      <c r="M12" s="43"/>
      <c r="N12" s="43"/>
      <c r="O12" s="43"/>
      <c r="P12" s="43"/>
    </row>
    <row r="13" spans="1:26" ht="15" customHeight="1" x14ac:dyDescent="0.25">
      <c r="A13" s="43"/>
      <c r="B13" s="43"/>
      <c r="C13" s="43"/>
      <c r="D13" s="43"/>
      <c r="E13" s="43"/>
      <c r="F13" s="43"/>
      <c r="G13" s="43"/>
      <c r="H13" s="43"/>
      <c r="I13" s="43"/>
      <c r="J13" s="43"/>
      <c r="K13" s="43"/>
      <c r="L13" s="43"/>
      <c r="M13" s="43"/>
      <c r="N13" s="43"/>
      <c r="O13" s="43"/>
      <c r="P13" s="43"/>
    </row>
    <row r="14" spans="1:26" ht="15" customHeight="1" x14ac:dyDescent="0.25">
      <c r="A14" s="43"/>
      <c r="B14" s="43"/>
      <c r="C14" s="43"/>
      <c r="D14" s="43"/>
      <c r="E14" s="43"/>
      <c r="F14" s="43"/>
      <c r="G14" s="43"/>
      <c r="H14" s="43"/>
      <c r="I14" s="43"/>
      <c r="J14" s="43"/>
      <c r="K14" s="43"/>
      <c r="L14" s="43"/>
      <c r="M14" s="43"/>
      <c r="N14" s="43"/>
      <c r="O14" s="43"/>
      <c r="P14" s="43"/>
    </row>
    <row r="15" spans="1:26" ht="15" customHeight="1" x14ac:dyDescent="0.25">
      <c r="A15" s="43"/>
      <c r="B15" s="43"/>
      <c r="C15" s="43"/>
      <c r="D15" s="43"/>
      <c r="E15" s="43"/>
      <c r="F15" s="43"/>
      <c r="G15" s="43"/>
      <c r="H15" s="43"/>
      <c r="I15" s="43"/>
      <c r="J15" s="43"/>
      <c r="K15" s="43"/>
      <c r="L15" s="43"/>
      <c r="M15" s="43"/>
      <c r="N15" s="43"/>
      <c r="O15" s="43"/>
      <c r="P15" s="43"/>
    </row>
    <row r="16" spans="1:26" ht="15" customHeight="1" x14ac:dyDescent="0.25">
      <c r="A16" s="43"/>
      <c r="B16" s="43"/>
      <c r="C16" s="43"/>
      <c r="D16" s="43"/>
      <c r="E16" s="43"/>
      <c r="F16" s="43"/>
      <c r="G16" s="43"/>
      <c r="H16" s="43"/>
      <c r="I16" s="43"/>
      <c r="J16" s="43"/>
      <c r="K16" s="43"/>
      <c r="L16" s="43"/>
      <c r="M16" s="43"/>
      <c r="N16" s="43"/>
      <c r="O16" s="43"/>
      <c r="P16" s="43"/>
    </row>
    <row r="17" spans="1:16" ht="15" customHeight="1" x14ac:dyDescent="0.25">
      <c r="A17" s="43"/>
      <c r="B17" s="43"/>
      <c r="C17" s="43"/>
      <c r="D17" s="43"/>
      <c r="E17" s="43"/>
      <c r="F17" s="43"/>
      <c r="G17" s="43"/>
      <c r="H17" s="43"/>
      <c r="I17" s="43"/>
      <c r="J17" s="43"/>
      <c r="K17" s="43"/>
      <c r="L17" s="43"/>
      <c r="M17" s="43"/>
      <c r="N17" s="43"/>
      <c r="O17" s="43"/>
      <c r="P17" s="43"/>
    </row>
    <row r="18" spans="1:16" ht="15" customHeight="1" x14ac:dyDescent="0.25">
      <c r="A18" s="43"/>
      <c r="B18" s="43"/>
      <c r="C18" s="43"/>
      <c r="D18" s="43"/>
      <c r="E18" s="43"/>
      <c r="F18" s="43"/>
      <c r="G18" s="43"/>
      <c r="H18" s="43"/>
      <c r="I18" s="43"/>
      <c r="J18" s="43"/>
      <c r="K18" s="43"/>
      <c r="L18" s="43"/>
      <c r="M18" s="43"/>
      <c r="N18" s="43"/>
      <c r="O18" s="43"/>
      <c r="P18" s="43"/>
    </row>
    <row r="19" spans="1:16" ht="15" customHeight="1" x14ac:dyDescent="0.25">
      <c r="A19" s="43"/>
      <c r="B19" s="43"/>
      <c r="C19" s="43"/>
      <c r="D19" s="43"/>
      <c r="E19" s="43"/>
      <c r="F19" s="43"/>
      <c r="G19" s="43"/>
      <c r="H19" s="43"/>
      <c r="I19" s="43"/>
      <c r="J19" s="43"/>
      <c r="K19" s="43"/>
      <c r="L19" s="43"/>
      <c r="M19" s="43"/>
      <c r="N19" s="43"/>
      <c r="O19" s="43"/>
      <c r="P19" s="43"/>
    </row>
    <row r="20" spans="1:16" ht="15" customHeight="1" x14ac:dyDescent="0.25">
      <c r="A20" s="43"/>
      <c r="B20" s="43"/>
      <c r="C20" s="43"/>
      <c r="D20" s="43"/>
      <c r="E20" s="43"/>
      <c r="F20" s="43"/>
      <c r="G20" s="43"/>
      <c r="H20" s="43"/>
      <c r="I20" s="43"/>
      <c r="J20" s="43"/>
      <c r="K20" s="43"/>
      <c r="L20" s="43"/>
      <c r="M20" s="43"/>
      <c r="N20" s="43"/>
      <c r="O20" s="43"/>
      <c r="P20" s="43"/>
    </row>
    <row r="21" spans="1:16" ht="15" customHeight="1" x14ac:dyDescent="0.25">
      <c r="A21" s="43"/>
      <c r="B21" s="43"/>
      <c r="C21" s="43"/>
      <c r="D21" s="43"/>
      <c r="E21" s="43"/>
      <c r="F21" s="43"/>
      <c r="G21" s="43"/>
      <c r="H21" s="43"/>
      <c r="I21" s="43"/>
      <c r="J21" s="43"/>
      <c r="K21" s="43"/>
      <c r="L21" s="43"/>
      <c r="M21" s="43"/>
      <c r="N21" s="43"/>
      <c r="O21" s="43"/>
      <c r="P21" s="43"/>
    </row>
    <row r="22" spans="1:16" ht="15" customHeight="1" x14ac:dyDescent="0.25">
      <c r="A22" s="43"/>
      <c r="B22" s="43"/>
      <c r="C22" s="43"/>
      <c r="D22" s="43"/>
      <c r="E22" s="43"/>
      <c r="F22" s="43"/>
      <c r="G22" s="43"/>
      <c r="H22" s="43"/>
      <c r="I22" s="43"/>
      <c r="J22" s="43"/>
      <c r="K22" s="43"/>
      <c r="L22" s="43"/>
      <c r="M22" s="43"/>
      <c r="N22" s="43"/>
      <c r="O22" s="43"/>
      <c r="P22" s="43"/>
    </row>
    <row r="23" spans="1:16" ht="15" customHeight="1" x14ac:dyDescent="0.25">
      <c r="A23" s="43"/>
      <c r="B23" s="43"/>
      <c r="C23" s="43"/>
      <c r="D23" s="43"/>
      <c r="E23" s="43"/>
      <c r="F23" s="43"/>
      <c r="G23" s="43"/>
      <c r="H23" s="43"/>
      <c r="I23" s="43"/>
      <c r="J23" s="43"/>
      <c r="K23" s="43"/>
      <c r="L23" s="43"/>
      <c r="M23" s="43"/>
      <c r="N23" s="43"/>
      <c r="O23" s="43"/>
      <c r="P23" s="43"/>
    </row>
    <row r="24" spans="1:16" ht="15" customHeight="1" x14ac:dyDescent="0.25">
      <c r="A24" s="43"/>
      <c r="B24" s="43"/>
      <c r="C24" s="43"/>
      <c r="D24" s="43"/>
      <c r="E24" s="43"/>
      <c r="F24" s="43"/>
      <c r="G24" s="43"/>
      <c r="H24" s="43"/>
      <c r="I24" s="43"/>
      <c r="J24" s="43"/>
      <c r="K24" s="43"/>
      <c r="L24" s="43"/>
      <c r="M24" s="43"/>
      <c r="N24" s="43"/>
      <c r="O24" s="43"/>
      <c r="P24" s="43"/>
    </row>
    <row r="25" spans="1:16" ht="15" customHeight="1" x14ac:dyDescent="0.25">
      <c r="A25" s="43"/>
      <c r="B25" s="43"/>
      <c r="C25" s="43"/>
      <c r="D25" s="43"/>
      <c r="E25" s="43"/>
      <c r="F25" s="43"/>
      <c r="G25" s="43"/>
      <c r="H25" s="43"/>
      <c r="I25" s="43"/>
      <c r="J25" s="43"/>
      <c r="K25" s="43"/>
      <c r="L25" s="43"/>
      <c r="M25" s="43"/>
      <c r="N25" s="43"/>
      <c r="O25" s="43"/>
      <c r="P25" s="43"/>
    </row>
    <row r="26" spans="1:16" ht="15" customHeight="1" x14ac:dyDescent="0.25">
      <c r="A26" s="43"/>
      <c r="B26" s="43"/>
      <c r="C26" s="43"/>
      <c r="D26" s="43"/>
      <c r="E26" s="43"/>
      <c r="F26" s="43"/>
      <c r="G26" s="43"/>
      <c r="H26" s="43"/>
      <c r="I26" s="43"/>
      <c r="J26" s="43"/>
      <c r="K26" s="43"/>
      <c r="L26" s="43"/>
      <c r="M26" s="43"/>
      <c r="N26" s="43"/>
      <c r="O26" s="43"/>
      <c r="P26" s="43"/>
    </row>
    <row r="27" spans="1:16" ht="15" customHeight="1" x14ac:dyDescent="0.25">
      <c r="A27" s="43"/>
      <c r="B27" s="43"/>
      <c r="C27" s="43"/>
      <c r="D27" s="43"/>
      <c r="E27" s="43"/>
      <c r="F27" s="43"/>
      <c r="G27" s="43"/>
      <c r="H27" s="43"/>
      <c r="I27" s="43"/>
      <c r="J27" s="43"/>
      <c r="K27" s="43"/>
      <c r="L27" s="43"/>
      <c r="M27" s="43"/>
      <c r="N27" s="43"/>
      <c r="O27" s="43"/>
      <c r="P27" s="43"/>
    </row>
    <row r="28" spans="1:16" ht="15" customHeight="1" x14ac:dyDescent="0.25">
      <c r="A28" s="43"/>
      <c r="B28" s="43"/>
      <c r="C28" s="43"/>
      <c r="D28" s="43"/>
      <c r="E28" s="43"/>
      <c r="F28" s="43"/>
      <c r="G28" s="43"/>
      <c r="H28" s="43"/>
      <c r="I28" s="43"/>
      <c r="J28" s="43"/>
      <c r="K28" s="43"/>
      <c r="L28" s="43"/>
      <c r="M28" s="43"/>
      <c r="N28" s="43"/>
      <c r="O28" s="43"/>
      <c r="P28" s="43"/>
    </row>
    <row r="29" spans="1:16" ht="15" customHeight="1" x14ac:dyDescent="0.25">
      <c r="A29" s="43"/>
      <c r="B29" s="43"/>
      <c r="C29" s="43"/>
      <c r="D29" s="43"/>
      <c r="E29" s="43"/>
      <c r="F29" s="43"/>
      <c r="G29" s="43"/>
      <c r="H29" s="43"/>
      <c r="I29" s="43"/>
      <c r="J29" s="43"/>
      <c r="K29" s="43"/>
      <c r="L29" s="43"/>
      <c r="M29" s="43"/>
      <c r="N29" s="43"/>
      <c r="O29" s="43"/>
      <c r="P29" s="43"/>
    </row>
    <row r="30" spans="1:16" ht="15" customHeight="1" x14ac:dyDescent="0.25">
      <c r="A30" s="43"/>
      <c r="B30" s="43"/>
      <c r="C30" s="43"/>
      <c r="D30" s="43"/>
      <c r="E30" s="43"/>
      <c r="F30" s="43"/>
      <c r="G30" s="43"/>
      <c r="H30" s="43"/>
      <c r="I30" s="43"/>
      <c r="J30" s="43"/>
      <c r="K30" s="43"/>
      <c r="L30" s="43"/>
      <c r="M30" s="43"/>
      <c r="N30" s="43"/>
      <c r="O30" s="43"/>
      <c r="P30" s="43"/>
    </row>
    <row r="31" spans="1:16" ht="15" customHeight="1" x14ac:dyDescent="0.25">
      <c r="A31" s="43"/>
      <c r="B31" s="43"/>
      <c r="C31" s="43"/>
      <c r="D31" s="43"/>
      <c r="E31" s="43"/>
      <c r="F31" s="43"/>
      <c r="G31" s="43"/>
      <c r="H31" s="43"/>
      <c r="I31" s="43"/>
      <c r="J31" s="43"/>
      <c r="K31" s="43"/>
      <c r="L31" s="43"/>
      <c r="M31" s="43"/>
      <c r="N31" s="43"/>
      <c r="O31" s="43"/>
      <c r="P31" s="43"/>
    </row>
    <row r="32" spans="1:16" ht="15" customHeight="1" x14ac:dyDescent="0.25">
      <c r="A32" s="43"/>
      <c r="B32" s="43"/>
      <c r="C32" s="43"/>
      <c r="D32" s="43"/>
      <c r="E32" s="43"/>
      <c r="F32" s="43"/>
      <c r="G32" s="43"/>
      <c r="H32" s="43"/>
      <c r="I32" s="43"/>
      <c r="J32" s="43"/>
      <c r="K32" s="43"/>
      <c r="L32" s="43"/>
      <c r="M32" s="43"/>
      <c r="N32" s="43"/>
      <c r="O32" s="43"/>
      <c r="P32" s="43"/>
    </row>
    <row r="33" spans="1:16" ht="15" customHeight="1" x14ac:dyDescent="0.25">
      <c r="A33" s="43"/>
      <c r="B33" s="43"/>
      <c r="C33" s="43"/>
      <c r="D33" s="43"/>
      <c r="E33" s="43"/>
      <c r="F33" s="43"/>
      <c r="G33" s="43"/>
      <c r="H33" s="43"/>
      <c r="I33" s="43"/>
      <c r="J33" s="43"/>
      <c r="K33" s="43"/>
      <c r="L33" s="43"/>
      <c r="M33" s="43"/>
      <c r="N33" s="43"/>
      <c r="O33" s="43"/>
      <c r="P33" s="43"/>
    </row>
    <row r="34" spans="1:16" ht="15" customHeight="1" x14ac:dyDescent="0.25">
      <c r="A34" s="43"/>
      <c r="B34" s="43"/>
      <c r="C34" s="43"/>
      <c r="D34" s="43"/>
      <c r="E34" s="43"/>
      <c r="F34" s="43"/>
      <c r="G34" s="43"/>
      <c r="H34" s="43"/>
      <c r="I34" s="43"/>
      <c r="J34" s="43"/>
      <c r="K34" s="43"/>
      <c r="L34" s="43"/>
      <c r="M34" s="43"/>
      <c r="N34" s="43"/>
      <c r="O34" s="43"/>
      <c r="P34" s="43"/>
    </row>
    <row r="35" spans="1:16" ht="15" customHeight="1" x14ac:dyDescent="0.25">
      <c r="A35" s="43"/>
      <c r="B35" s="43"/>
      <c r="C35" s="43"/>
      <c r="D35" s="43"/>
      <c r="E35" s="43"/>
      <c r="F35" s="43"/>
      <c r="G35" s="43"/>
      <c r="H35" s="43"/>
      <c r="I35" s="43"/>
      <c r="J35" s="43"/>
      <c r="K35" s="43"/>
      <c r="L35" s="43"/>
      <c r="M35" s="43"/>
      <c r="N35" s="43"/>
      <c r="O35" s="43"/>
      <c r="P35" s="43"/>
    </row>
    <row r="36" spans="1:16" ht="15" customHeight="1" x14ac:dyDescent="0.25">
      <c r="A36" s="43"/>
      <c r="B36" s="43"/>
      <c r="C36" s="43"/>
      <c r="D36" s="43"/>
      <c r="E36" s="43"/>
      <c r="F36" s="43"/>
      <c r="G36" s="43"/>
      <c r="H36" s="43"/>
      <c r="I36" s="43"/>
      <c r="J36" s="43"/>
      <c r="K36" s="43"/>
      <c r="L36" s="43"/>
      <c r="M36" s="43"/>
      <c r="N36" s="43"/>
      <c r="O36" s="43"/>
      <c r="P36" s="43"/>
    </row>
    <row r="37" spans="1:16" ht="15" customHeight="1" x14ac:dyDescent="0.25">
      <c r="A37" s="43"/>
      <c r="B37" s="43"/>
      <c r="C37" s="43"/>
      <c r="D37" s="43"/>
      <c r="E37" s="43"/>
      <c r="F37" s="43"/>
      <c r="G37" s="43"/>
      <c r="H37" s="43"/>
      <c r="I37" s="43"/>
      <c r="J37" s="43"/>
      <c r="K37" s="43"/>
      <c r="L37" s="43"/>
      <c r="M37" s="43"/>
      <c r="N37" s="43"/>
      <c r="O37" s="43"/>
      <c r="P37" s="43"/>
    </row>
    <row r="38" spans="1:16" ht="15" customHeight="1" x14ac:dyDescent="0.25">
      <c r="A38" s="43"/>
      <c r="B38" s="43"/>
      <c r="C38" s="43"/>
      <c r="D38" s="43"/>
      <c r="E38" s="43"/>
      <c r="F38" s="43"/>
      <c r="G38" s="43"/>
      <c r="H38" s="43"/>
      <c r="I38" s="43"/>
      <c r="J38" s="43"/>
      <c r="K38" s="43"/>
      <c r="L38" s="43"/>
      <c r="M38" s="43"/>
      <c r="N38" s="43"/>
      <c r="O38" s="43"/>
      <c r="P38" s="43"/>
    </row>
    <row r="39" spans="1:16" ht="15" customHeight="1" x14ac:dyDescent="0.25">
      <c r="A39" s="43"/>
      <c r="B39" s="43"/>
      <c r="C39" s="43"/>
      <c r="D39" s="43"/>
      <c r="E39" s="43"/>
      <c r="F39" s="43"/>
      <c r="G39" s="43"/>
      <c r="H39" s="43"/>
      <c r="I39" s="43"/>
      <c r="J39" s="43"/>
      <c r="K39" s="43"/>
      <c r="L39" s="43"/>
      <c r="M39" s="43"/>
      <c r="N39" s="43"/>
      <c r="O39" s="43"/>
      <c r="P39" s="43"/>
    </row>
    <row r="40" spans="1:16" ht="15" customHeight="1" x14ac:dyDescent="0.25">
      <c r="A40" s="43"/>
      <c r="B40" s="43"/>
      <c r="C40" s="43"/>
      <c r="D40" s="43"/>
      <c r="E40" s="43"/>
      <c r="F40" s="43"/>
      <c r="G40" s="43"/>
      <c r="H40" s="43"/>
      <c r="I40" s="43"/>
      <c r="J40" s="43"/>
      <c r="K40" s="43"/>
      <c r="L40" s="43"/>
      <c r="M40" s="43"/>
      <c r="N40" s="43"/>
      <c r="O40" s="43"/>
      <c r="P40" s="43"/>
    </row>
    <row r="41" spans="1:16" ht="15" customHeight="1" x14ac:dyDescent="0.25">
      <c r="A41" s="43"/>
      <c r="B41" s="43"/>
      <c r="C41" s="43"/>
      <c r="D41" s="43"/>
      <c r="E41" s="43"/>
      <c r="F41" s="43"/>
      <c r="G41" s="43"/>
      <c r="H41" s="43"/>
      <c r="I41" s="43"/>
      <c r="J41" s="43"/>
      <c r="K41" s="43"/>
      <c r="L41" s="43"/>
      <c r="M41" s="43"/>
      <c r="N41" s="43"/>
      <c r="O41" s="43"/>
      <c r="P41" s="43"/>
    </row>
    <row r="42" spans="1:16" ht="15.75" customHeight="1" x14ac:dyDescent="0.25">
      <c r="A42" s="43"/>
      <c r="B42" s="43"/>
      <c r="C42" s="43"/>
      <c r="D42" s="43"/>
      <c r="E42" s="43"/>
      <c r="F42" s="43"/>
      <c r="G42" s="43"/>
      <c r="H42" s="43"/>
      <c r="I42" s="43"/>
      <c r="J42" s="43"/>
      <c r="K42" s="43"/>
      <c r="L42" s="43"/>
      <c r="M42" s="43"/>
      <c r="N42" s="43"/>
      <c r="O42" s="43"/>
      <c r="P42" s="43"/>
    </row>
    <row r="43" spans="1:16" ht="15" customHeight="1" x14ac:dyDescent="0.25">
      <c r="A43" s="43"/>
      <c r="B43" s="43"/>
      <c r="C43" s="43"/>
      <c r="D43" s="43"/>
      <c r="E43" s="43"/>
      <c r="F43" s="43"/>
      <c r="G43" s="43"/>
      <c r="H43" s="43"/>
      <c r="I43" s="43"/>
      <c r="J43" s="43"/>
      <c r="K43" s="43"/>
      <c r="L43" s="43"/>
      <c r="M43" s="43"/>
      <c r="N43" s="43"/>
      <c r="O43" s="43"/>
      <c r="P43" s="43"/>
    </row>
  </sheetData>
  <printOptions gridLines="1"/>
  <pageMargins left="0.70866141732283472" right="0.70866141732283472" top="0.74803149606299213" bottom="0.74803149606299213" header="0" footer="0"/>
  <pageSetup paperSize="9" scale="72" orientation="landscape" r:id="rId1"/>
  <headerFooter>
    <oddHeader>&amp;R&amp;F  &amp;A</oddHeader>
    <oddFooter>&amp;L© 2016&amp;CPage &amp;P of</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pageSetUpPr fitToPage="1"/>
  </sheetPr>
  <dimension ref="A1:Z1000"/>
  <sheetViews>
    <sheetView view="pageBreakPreview" zoomScale="85" zoomScaleNormal="100" zoomScaleSheetLayoutView="85" workbookViewId="0"/>
  </sheetViews>
  <sheetFormatPr defaultColWidth="12.5703125" defaultRowHeight="15" customHeight="1" x14ac:dyDescent="0.25"/>
  <cols>
    <col min="1" max="1" width="1.140625" customWidth="1"/>
    <col min="2" max="2" width="24.28515625" customWidth="1"/>
    <col min="3" max="3" width="2.140625" customWidth="1"/>
    <col min="4" max="4" width="9.5703125" customWidth="1"/>
    <col min="5" max="5" width="2.140625" customWidth="1"/>
    <col min="6" max="6" width="9.5703125" customWidth="1"/>
    <col min="7" max="7" width="2.140625" customWidth="1"/>
    <col min="8" max="8" width="9.5703125" customWidth="1"/>
    <col min="9" max="9" width="2.140625" customWidth="1"/>
    <col min="10" max="10" width="9.5703125" customWidth="1"/>
    <col min="11" max="11" width="2.140625" customWidth="1"/>
    <col min="12" max="12" width="8.5703125" customWidth="1"/>
    <col min="13" max="13" width="2.140625" customWidth="1"/>
    <col min="14" max="14" width="8.5703125" customWidth="1"/>
    <col min="15" max="15" width="2.140625" customWidth="1"/>
    <col min="16" max="16" width="8.5703125" customWidth="1"/>
    <col min="17" max="17" width="2.140625" customWidth="1"/>
    <col min="18" max="18" width="8" customWidth="1"/>
    <col min="19" max="19" width="2.140625" customWidth="1"/>
    <col min="20" max="20" width="8" customWidth="1"/>
    <col min="21" max="21" width="2.140625" customWidth="1"/>
    <col min="22" max="22" width="8" customWidth="1"/>
    <col min="23" max="23" width="2.140625" customWidth="1"/>
    <col min="24" max="26" width="8" customWidth="1"/>
  </cols>
  <sheetData>
    <row r="1" spans="1:26" ht="45" customHeight="1" x14ac:dyDescent="0.45">
      <c r="A1" s="72" t="s">
        <v>607</v>
      </c>
      <c r="B1" s="72"/>
      <c r="C1" s="72"/>
      <c r="D1" s="72"/>
      <c r="E1" s="72"/>
      <c r="F1" s="72"/>
      <c r="G1" s="72"/>
      <c r="H1" s="72"/>
      <c r="I1" s="72"/>
      <c r="J1" s="72"/>
      <c r="K1" s="72"/>
      <c r="L1" s="72"/>
      <c r="M1" s="72"/>
      <c r="N1" s="72"/>
      <c r="O1" s="72"/>
      <c r="P1" s="72"/>
      <c r="Q1" s="72"/>
      <c r="R1" s="72"/>
      <c r="S1" s="72"/>
      <c r="T1" s="72"/>
      <c r="U1" s="72"/>
      <c r="V1" s="72"/>
      <c r="W1" s="72"/>
      <c r="X1" s="72"/>
      <c r="Y1" s="12"/>
      <c r="Z1" s="12"/>
    </row>
    <row r="2" spans="1:26" ht="15" customHeight="1" x14ac:dyDescent="0.3">
      <c r="B2" s="7" t="s">
        <v>608</v>
      </c>
      <c r="D2" s="13"/>
      <c r="T2" s="13" t="s">
        <v>609</v>
      </c>
      <c r="U2" s="13"/>
      <c r="V2" s="13"/>
      <c r="W2" s="13"/>
      <c r="X2" s="13"/>
      <c r="Y2" s="13"/>
      <c r="Z2" s="13"/>
    </row>
    <row r="3" spans="1:26" ht="15" customHeight="1" x14ac:dyDescent="0.3">
      <c r="D3" s="13"/>
      <c r="T3" s="13"/>
      <c r="U3" s="13"/>
      <c r="V3" s="13"/>
      <c r="W3" s="13"/>
      <c r="X3" s="13"/>
      <c r="Y3" s="13"/>
      <c r="Z3" s="13"/>
    </row>
    <row r="4" spans="1:26" ht="15" customHeight="1" x14ac:dyDescent="0.25">
      <c r="A4" s="131" t="s">
        <v>136</v>
      </c>
      <c r="B4" s="131"/>
      <c r="C4" s="131"/>
      <c r="D4" s="131"/>
    </row>
    <row r="5" spans="1:26" ht="15" customHeight="1" x14ac:dyDescent="0.25">
      <c r="A5" s="9"/>
      <c r="B5" s="4" t="s">
        <v>138</v>
      </c>
      <c r="D5" s="62" t="s">
        <v>610</v>
      </c>
    </row>
    <row r="6" spans="1:26" ht="15" customHeight="1" x14ac:dyDescent="0.25">
      <c r="A6" s="9"/>
      <c r="B6" s="4" t="s">
        <v>140</v>
      </c>
      <c r="D6" s="4" t="s">
        <v>141</v>
      </c>
    </row>
    <row r="7" spans="1:26" ht="15" customHeight="1" x14ac:dyDescent="0.25">
      <c r="A7" s="9"/>
      <c r="B7" s="4" t="s">
        <v>143</v>
      </c>
      <c r="D7" s="132">
        <v>42482</v>
      </c>
    </row>
    <row r="8" spans="1:26" ht="15" customHeight="1" x14ac:dyDescent="0.25">
      <c r="A8" s="9"/>
      <c r="B8" s="4" t="s">
        <v>150</v>
      </c>
      <c r="D8" s="62" t="s">
        <v>611</v>
      </c>
    </row>
    <row r="9" spans="1:26" ht="15" customHeight="1" x14ac:dyDescent="0.25">
      <c r="A9" s="10"/>
      <c r="B9" s="4" t="s">
        <v>612</v>
      </c>
      <c r="D9" s="62" t="s">
        <v>613</v>
      </c>
    </row>
    <row r="10" spans="1:26" ht="15" customHeight="1" x14ac:dyDescent="0.25">
      <c r="A10" s="9"/>
      <c r="B10" s="4" t="s">
        <v>145</v>
      </c>
      <c r="D10" s="132">
        <v>42369</v>
      </c>
    </row>
    <row r="11" spans="1:26" ht="15" customHeight="1" x14ac:dyDescent="0.25">
      <c r="A11" s="9"/>
      <c r="B11" s="4" t="s">
        <v>154</v>
      </c>
      <c r="D11" s="62" t="s">
        <v>155</v>
      </c>
    </row>
    <row r="12" spans="1:26" ht="15" customHeight="1" x14ac:dyDescent="0.25">
      <c r="A12" s="9"/>
      <c r="B12" s="4" t="s">
        <v>614</v>
      </c>
      <c r="D12" s="62"/>
    </row>
    <row r="13" spans="1:26" ht="15" customHeight="1" x14ac:dyDescent="0.25">
      <c r="A13" s="9"/>
      <c r="B13" s="4" t="str">
        <f>"Closing price as at "&amp;TEXT(D7,"dd-mmm-yy")</f>
        <v>Closing price as at 22-Apr-16</v>
      </c>
      <c r="D13" s="62" t="e">
        <v>#N/A</v>
      </c>
    </row>
    <row r="14" spans="1:26" ht="15" customHeight="1" x14ac:dyDescent="0.25">
      <c r="A14" s="9"/>
      <c r="B14" s="4" t="s">
        <v>158</v>
      </c>
      <c r="D14" s="62" t="e">
        <v>#N/A</v>
      </c>
    </row>
    <row r="15" spans="1:26" ht="15" customHeight="1" x14ac:dyDescent="0.25">
      <c r="A15" s="9"/>
      <c r="B15" s="4" t="s">
        <v>160</v>
      </c>
      <c r="D15" s="62" t="e">
        <v>#N/A</v>
      </c>
    </row>
    <row r="16" spans="1:26" ht="15" customHeight="1" x14ac:dyDescent="0.25">
      <c r="A16" s="9"/>
      <c r="B16" s="4" t="s">
        <v>615</v>
      </c>
      <c r="D16" s="62" t="e">
        <v>#N/A</v>
      </c>
    </row>
    <row r="17" spans="1:4" ht="15" customHeight="1" x14ac:dyDescent="0.25">
      <c r="A17" s="9"/>
      <c r="B17" s="4" t="s">
        <v>616</v>
      </c>
      <c r="D17" s="62" t="s">
        <v>19</v>
      </c>
    </row>
    <row r="18" spans="1:4" ht="15" customHeight="1" x14ac:dyDescent="0.25">
      <c r="A18" s="9"/>
      <c r="B18" s="4" t="s">
        <v>617</v>
      </c>
      <c r="D18" s="62">
        <v>0.6389551</v>
      </c>
    </row>
    <row r="19" spans="1:4" ht="15" customHeight="1" x14ac:dyDescent="0.25">
      <c r="A19" s="9"/>
      <c r="B19" s="4" t="s">
        <v>55</v>
      </c>
      <c r="D19" s="127" t="e">
        <v>#N/A</v>
      </c>
    </row>
    <row r="20" spans="1:4" ht="15" customHeight="1" x14ac:dyDescent="0.25">
      <c r="A20" s="9"/>
      <c r="D20" s="62"/>
    </row>
    <row r="21" spans="1:4" ht="15" customHeight="1" x14ac:dyDescent="0.25">
      <c r="A21" s="9"/>
      <c r="B21" s="4" t="s">
        <v>161</v>
      </c>
      <c r="D21" s="62" t="s">
        <v>618</v>
      </c>
    </row>
    <row r="22" spans="1:4" ht="15" customHeight="1" x14ac:dyDescent="0.25">
      <c r="A22" s="9"/>
      <c r="B22" s="4" t="s">
        <v>166</v>
      </c>
      <c r="D22" s="127" t="s">
        <v>388</v>
      </c>
    </row>
    <row r="23" spans="1:4" ht="15" customHeight="1" x14ac:dyDescent="0.25">
      <c r="A23" s="9"/>
      <c r="D23" s="62"/>
    </row>
    <row r="24" spans="1:4" ht="15" customHeight="1" x14ac:dyDescent="0.25">
      <c r="A24" s="131" t="s">
        <v>619</v>
      </c>
      <c r="B24" s="131"/>
      <c r="C24" s="131"/>
      <c r="D24" s="131"/>
    </row>
    <row r="25" spans="1:4" ht="15" customHeight="1" x14ac:dyDescent="0.25">
      <c r="A25" s="9"/>
      <c r="B25" s="4" t="s">
        <v>620</v>
      </c>
      <c r="D25" s="133">
        <v>0</v>
      </c>
    </row>
    <row r="26" spans="1:4" ht="15" customHeight="1" x14ac:dyDescent="0.25">
      <c r="A26" s="9"/>
      <c r="B26" s="4" t="s">
        <v>621</v>
      </c>
      <c r="D26" s="133">
        <v>0</v>
      </c>
    </row>
    <row r="27" spans="1:4" ht="15" customHeight="1" x14ac:dyDescent="0.25">
      <c r="A27" s="9"/>
      <c r="B27" s="4" t="s">
        <v>187</v>
      </c>
      <c r="D27" s="133">
        <v>67.661361999999997</v>
      </c>
    </row>
    <row r="28" spans="1:4" ht="15" customHeight="1" x14ac:dyDescent="0.25">
      <c r="A28" s="9"/>
      <c r="B28" s="4" t="s">
        <v>204</v>
      </c>
      <c r="D28" s="133">
        <v>510.95299999999997</v>
      </c>
    </row>
    <row r="29" spans="1:4" ht="15" customHeight="1" x14ac:dyDescent="0.25">
      <c r="A29" s="9"/>
      <c r="B29" s="4" t="s">
        <v>622</v>
      </c>
      <c r="D29" s="133">
        <v>6.6109999999999998</v>
      </c>
    </row>
    <row r="30" spans="1:4" ht="15" customHeight="1" x14ac:dyDescent="0.25">
      <c r="A30" s="9"/>
      <c r="B30" s="4" t="s">
        <v>623</v>
      </c>
      <c r="D30" s="133">
        <v>0</v>
      </c>
    </row>
    <row r="31" spans="1:4" ht="15" customHeight="1" x14ac:dyDescent="0.25">
      <c r="A31" s="9"/>
      <c r="B31" s="4" t="s">
        <v>624</v>
      </c>
      <c r="D31" s="134">
        <v>0</v>
      </c>
    </row>
    <row r="32" spans="1:4" ht="15" customHeight="1" x14ac:dyDescent="0.25">
      <c r="A32" s="9"/>
      <c r="B32" s="4" t="s">
        <v>196</v>
      </c>
      <c r="D32" s="135">
        <v>0</v>
      </c>
    </row>
    <row r="33" spans="1:18" ht="15" customHeight="1" x14ac:dyDescent="0.25">
      <c r="A33" s="9"/>
      <c r="B33" s="4" t="s">
        <v>625</v>
      </c>
      <c r="D33" s="133">
        <v>113.08199999999999</v>
      </c>
    </row>
    <row r="34" spans="1:18" ht="15" customHeight="1" x14ac:dyDescent="0.25">
      <c r="A34" s="9"/>
      <c r="B34" s="4" t="s">
        <v>626</v>
      </c>
      <c r="D34" s="133">
        <v>0</v>
      </c>
    </row>
    <row r="35" spans="1:18" ht="15" customHeight="1" x14ac:dyDescent="0.25">
      <c r="A35" s="9"/>
      <c r="B35" s="4" t="s">
        <v>627</v>
      </c>
      <c r="D35" s="133">
        <v>1.84</v>
      </c>
    </row>
    <row r="36" spans="1:18" ht="15" customHeight="1" x14ac:dyDescent="0.25">
      <c r="A36" s="9"/>
      <c r="B36" s="4" t="s">
        <v>628</v>
      </c>
      <c r="D36" s="136">
        <v>0</v>
      </c>
    </row>
    <row r="37" spans="1:18" ht="15.75" customHeight="1" x14ac:dyDescent="0.25">
      <c r="A37" s="9"/>
    </row>
    <row r="38" spans="1:18" ht="15" customHeight="1" x14ac:dyDescent="0.25">
      <c r="A38" s="131" t="s">
        <v>629</v>
      </c>
      <c r="B38" s="131"/>
      <c r="C38" s="131"/>
      <c r="D38" s="131"/>
    </row>
    <row r="39" spans="1:18" ht="15.75" customHeight="1" x14ac:dyDescent="0.25">
      <c r="A39" s="9"/>
      <c r="D39" s="137" t="s">
        <v>630</v>
      </c>
      <c r="F39" s="138" t="s">
        <v>213</v>
      </c>
      <c r="G39" s="138"/>
      <c r="H39" s="138" t="s">
        <v>214</v>
      </c>
      <c r="I39" s="138"/>
      <c r="L39" s="62" t="s">
        <v>217</v>
      </c>
      <c r="N39" s="62" t="s">
        <v>218</v>
      </c>
      <c r="P39" s="62" t="s">
        <v>219</v>
      </c>
      <c r="R39" s="62" t="s">
        <v>220</v>
      </c>
    </row>
    <row r="40" spans="1:18" ht="15" customHeight="1" x14ac:dyDescent="0.25">
      <c r="A40" s="9"/>
      <c r="B40" s="4" t="s">
        <v>3</v>
      </c>
      <c r="D40" s="139" t="str">
        <f>D8</f>
        <v>31/12/2015</v>
      </c>
      <c r="F40" s="109">
        <f>EDATE(H40,-12)</f>
        <v>42094</v>
      </c>
      <c r="H40" s="140">
        <v>42460</v>
      </c>
      <c r="L40" s="109">
        <f>EDATE(D40,12)</f>
        <v>42735</v>
      </c>
      <c r="M40" s="109"/>
      <c r="N40" s="109">
        <f>EDATE(L40,12)</f>
        <v>43100</v>
      </c>
      <c r="O40" s="109"/>
      <c r="P40" s="109">
        <f>EDATE(N40,12)</f>
        <v>43465</v>
      </c>
      <c r="Q40" s="109"/>
      <c r="R40" s="109">
        <f>EDATE(P40,12)</f>
        <v>43830</v>
      </c>
    </row>
    <row r="41" spans="1:18" ht="15" customHeight="1" x14ac:dyDescent="0.25">
      <c r="A41" s="9"/>
      <c r="B41" s="4" t="s">
        <v>631</v>
      </c>
      <c r="D41" s="133">
        <v>547.65499999999997</v>
      </c>
      <c r="F41" s="133">
        <v>138.52000000000001</v>
      </c>
      <c r="H41" s="133">
        <v>147.517</v>
      </c>
      <c r="L41" s="133" t="e">
        <v>#N/A</v>
      </c>
      <c r="N41" s="133" t="e">
        <v>#N/A</v>
      </c>
      <c r="P41" s="133" t="e">
        <v>#N/A</v>
      </c>
      <c r="R41" s="133" t="e">
        <v>#N/A</v>
      </c>
    </row>
    <row r="42" spans="1:18" ht="15" customHeight="1" x14ac:dyDescent="0.25">
      <c r="A42" s="9"/>
      <c r="B42" s="4" t="s">
        <v>17</v>
      </c>
      <c r="D42" s="43">
        <v>100.14100000000001</v>
      </c>
      <c r="F42" s="43">
        <v>25.919</v>
      </c>
      <c r="H42" s="43">
        <v>22.268999999999998</v>
      </c>
      <c r="L42" s="133" t="e">
        <v>#N/A</v>
      </c>
      <c r="N42" s="133" t="e">
        <v>#N/A</v>
      </c>
      <c r="P42" s="133" t="e">
        <v>#N/A</v>
      </c>
      <c r="R42" s="133" t="e">
        <v>#N/A</v>
      </c>
    </row>
    <row r="43" spans="1:18" ht="15" customHeight="1" x14ac:dyDescent="0.25">
      <c r="A43" s="9"/>
      <c r="B43" s="4" t="s">
        <v>222</v>
      </c>
      <c r="D43" s="133">
        <v>21.494</v>
      </c>
      <c r="F43" s="133">
        <v>5.0670000000000002</v>
      </c>
      <c r="H43" s="133">
        <v>6.1520000000000001</v>
      </c>
      <c r="L43" s="43" t="e">
        <f>L44-L42</f>
        <v>#N/A</v>
      </c>
      <c r="N43" s="43" t="e">
        <f>N44-N42</f>
        <v>#N/A</v>
      </c>
      <c r="P43" s="43" t="e">
        <f>P44-P42</f>
        <v>#N/A</v>
      </c>
      <c r="R43" s="43" t="e">
        <f>R44-R42</f>
        <v>#N/A</v>
      </c>
    </row>
    <row r="44" spans="1:18" ht="15" customHeight="1" x14ac:dyDescent="0.25">
      <c r="A44" s="9"/>
      <c r="B44" s="4" t="s">
        <v>18</v>
      </c>
      <c r="D44" s="133">
        <f>D42+D43</f>
        <v>121.63500000000001</v>
      </c>
      <c r="F44" s="133">
        <f>F42+F43</f>
        <v>30.986000000000001</v>
      </c>
      <c r="H44" s="133">
        <f>H42+H43</f>
        <v>28.420999999999999</v>
      </c>
      <c r="L44" s="135" t="e">
        <v>#N/A</v>
      </c>
      <c r="N44" s="135" t="e">
        <v>#N/A</v>
      </c>
      <c r="P44" s="135" t="e">
        <v>#N/A</v>
      </c>
      <c r="R44" s="135" t="e">
        <v>#N/A</v>
      </c>
    </row>
    <row r="45" spans="1:18" ht="15" customHeight="1" x14ac:dyDescent="0.25">
      <c r="A45" s="9"/>
      <c r="B45" s="4" t="s">
        <v>632</v>
      </c>
      <c r="D45" s="133">
        <v>0.34699999999999998</v>
      </c>
      <c r="F45" s="133">
        <v>0.08</v>
      </c>
      <c r="H45" s="133">
        <v>0</v>
      </c>
      <c r="L45" s="133" t="e">
        <v>#N/A</v>
      </c>
      <c r="N45" s="133" t="e">
        <v>#N/A</v>
      </c>
      <c r="P45" s="133" t="e">
        <v>#N/A</v>
      </c>
      <c r="R45" s="133" t="e">
        <v>#N/A</v>
      </c>
    </row>
    <row r="46" spans="1:18" ht="15" customHeight="1" x14ac:dyDescent="0.25">
      <c r="A46" s="9"/>
      <c r="B46" s="4" t="s">
        <v>633</v>
      </c>
      <c r="D46" s="133">
        <v>50.619</v>
      </c>
      <c r="F46" s="133">
        <v>16.303000000000001</v>
      </c>
      <c r="H46" s="133">
        <v>50.619</v>
      </c>
      <c r="L46" s="133" t="e">
        <v>#N/A</v>
      </c>
      <c r="N46" s="133" t="e">
        <v>#N/A</v>
      </c>
      <c r="P46" s="133" t="e">
        <v>#N/A</v>
      </c>
      <c r="R46" s="133" t="e">
        <v>#N/A</v>
      </c>
    </row>
    <row r="47" spans="1:18" ht="15.75" customHeight="1" x14ac:dyDescent="0.25">
      <c r="A47" s="9"/>
    </row>
    <row r="48" spans="1:18" ht="15.75" customHeight="1" x14ac:dyDescent="0.25">
      <c r="A48" s="9"/>
    </row>
    <row r="49" spans="1:7" ht="15" customHeight="1" x14ac:dyDescent="0.25">
      <c r="A49" s="131" t="s">
        <v>634</v>
      </c>
      <c r="B49" s="131"/>
      <c r="C49" s="131"/>
      <c r="D49" s="131"/>
      <c r="E49" s="131"/>
      <c r="F49" s="131"/>
      <c r="G49" s="131"/>
    </row>
    <row r="50" spans="1:7" ht="15" customHeight="1" x14ac:dyDescent="0.25">
      <c r="A50" s="9"/>
      <c r="B50" s="4" t="s">
        <v>175</v>
      </c>
      <c r="D50" s="4" t="s">
        <v>176</v>
      </c>
      <c r="F50" s="4" t="s">
        <v>635</v>
      </c>
    </row>
    <row r="51" spans="1:7" ht="15" customHeight="1" x14ac:dyDescent="0.25">
      <c r="A51" s="9"/>
      <c r="B51" s="4" t="s">
        <v>636</v>
      </c>
      <c r="D51" s="134">
        <v>0</v>
      </c>
      <c r="F51" s="136">
        <v>0</v>
      </c>
    </row>
    <row r="52" spans="1:7" ht="15" customHeight="1" x14ac:dyDescent="0.25">
      <c r="A52" s="9"/>
      <c r="B52" s="4" t="s">
        <v>637</v>
      </c>
      <c r="D52" s="134">
        <v>0</v>
      </c>
      <c r="F52" s="136">
        <v>0</v>
      </c>
    </row>
    <row r="53" spans="1:7" ht="15" customHeight="1" x14ac:dyDescent="0.25">
      <c r="A53" s="9"/>
      <c r="B53" s="4" t="s">
        <v>638</v>
      </c>
      <c r="D53" s="134">
        <v>0</v>
      </c>
      <c r="F53" s="136">
        <v>0</v>
      </c>
    </row>
    <row r="54" spans="1:7" ht="15" customHeight="1" x14ac:dyDescent="0.25">
      <c r="A54" s="9"/>
      <c r="B54" s="4" t="s">
        <v>639</v>
      </c>
      <c r="D54" s="134">
        <v>0</v>
      </c>
      <c r="F54" s="136">
        <v>0</v>
      </c>
    </row>
    <row r="55" spans="1:7" ht="15" customHeight="1" x14ac:dyDescent="0.25">
      <c r="A55" s="9"/>
      <c r="B55" s="4" t="s">
        <v>640</v>
      </c>
      <c r="D55" s="134">
        <v>0</v>
      </c>
      <c r="F55" s="136">
        <v>0</v>
      </c>
    </row>
    <row r="56" spans="1:7" ht="15" customHeight="1" x14ac:dyDescent="0.25">
      <c r="A56" s="9"/>
      <c r="B56" s="4" t="s">
        <v>641</v>
      </c>
      <c r="D56" s="134">
        <v>0</v>
      </c>
      <c r="F56" s="136">
        <v>0</v>
      </c>
    </row>
    <row r="57" spans="1:7" ht="15" customHeight="1" x14ac:dyDescent="0.25">
      <c r="A57" s="9"/>
      <c r="B57" s="4" t="s">
        <v>642</v>
      </c>
      <c r="D57" s="134">
        <v>0</v>
      </c>
      <c r="F57" s="136">
        <v>0</v>
      </c>
    </row>
    <row r="58" spans="1:7" ht="15" customHeight="1" x14ac:dyDescent="0.25">
      <c r="A58" s="9"/>
      <c r="B58" s="4" t="s">
        <v>643</v>
      </c>
      <c r="D58" s="134">
        <v>0</v>
      </c>
      <c r="F58" s="136">
        <v>0</v>
      </c>
    </row>
    <row r="59" spans="1:7" ht="15" customHeight="1" x14ac:dyDescent="0.25">
      <c r="A59" s="9"/>
      <c r="B59" s="4" t="s">
        <v>207</v>
      </c>
    </row>
    <row r="60" spans="1:7" ht="15.75" customHeight="1" x14ac:dyDescent="0.25">
      <c r="A60" s="9"/>
    </row>
    <row r="61" spans="1:7" ht="15" customHeight="1" x14ac:dyDescent="0.25">
      <c r="B61" s="4" t="s">
        <v>644</v>
      </c>
      <c r="F61" s="136">
        <v>0</v>
      </c>
    </row>
    <row r="62" spans="1:7" ht="15" customHeight="1" x14ac:dyDescent="0.25">
      <c r="A62" s="9"/>
      <c r="B62" s="4" t="s">
        <v>645</v>
      </c>
      <c r="F62" s="136">
        <v>0</v>
      </c>
    </row>
    <row r="63" spans="1:7" ht="15" customHeight="1" x14ac:dyDescent="0.25">
      <c r="A63" s="9"/>
      <c r="B63" s="4" t="s">
        <v>646</v>
      </c>
      <c r="F63" s="136">
        <v>0</v>
      </c>
    </row>
    <row r="64" spans="1:7" ht="15" customHeight="1" x14ac:dyDescent="0.25">
      <c r="A64" s="9"/>
      <c r="B64" s="4" t="s">
        <v>647</v>
      </c>
      <c r="F64" s="136">
        <v>0</v>
      </c>
    </row>
    <row r="65" spans="1:6" ht="15" customHeight="1" x14ac:dyDescent="0.25">
      <c r="A65" s="9"/>
      <c r="B65" s="4" t="s">
        <v>86</v>
      </c>
      <c r="F65" s="136">
        <v>0</v>
      </c>
    </row>
    <row r="66" spans="1:6" ht="15" customHeight="1" x14ac:dyDescent="0.25">
      <c r="A66" s="9"/>
      <c r="B66" s="4" t="s">
        <v>648</v>
      </c>
      <c r="F66" s="136">
        <v>0</v>
      </c>
    </row>
    <row r="67" spans="1:6" ht="15" customHeight="1" x14ac:dyDescent="0.25">
      <c r="A67" s="9"/>
      <c r="B67" s="4" t="s">
        <v>649</v>
      </c>
      <c r="F67" s="136">
        <v>39.268000000000001</v>
      </c>
    </row>
    <row r="68" spans="1:6" ht="15.75" customHeight="1" x14ac:dyDescent="0.25">
      <c r="A68" s="9"/>
    </row>
    <row r="69" spans="1:6" ht="15.75" customHeight="1" x14ac:dyDescent="0.25">
      <c r="A69" s="9"/>
    </row>
    <row r="70" spans="1:6" ht="15.75" customHeight="1" x14ac:dyDescent="0.25">
      <c r="A70" s="9"/>
    </row>
    <row r="111" spans="1:1" ht="15.75" customHeight="1" x14ac:dyDescent="0.25">
      <c r="A111" s="9"/>
    </row>
    <row r="112" spans="1:1" ht="15.75" customHeight="1" x14ac:dyDescent="0.25">
      <c r="A112" s="9"/>
    </row>
    <row r="113" spans="1:1" ht="15.75" customHeight="1" x14ac:dyDescent="0.25">
      <c r="A113" s="9"/>
    </row>
    <row r="114" spans="1:1" ht="15.75" customHeight="1" x14ac:dyDescent="0.25">
      <c r="A114" s="9"/>
    </row>
    <row r="115" spans="1:1" ht="15.75" customHeight="1" x14ac:dyDescent="0.25">
      <c r="A115" s="9"/>
    </row>
    <row r="116" spans="1:1" ht="15.75" customHeight="1" x14ac:dyDescent="0.25">
      <c r="A116" s="9"/>
    </row>
    <row r="117" spans="1:1" ht="15.75" customHeight="1" x14ac:dyDescent="0.25">
      <c r="A117" s="9"/>
    </row>
    <row r="118" spans="1:1" ht="15.75" customHeight="1" x14ac:dyDescent="0.25">
      <c r="A118" s="9"/>
    </row>
    <row r="119" spans="1:1" ht="15.75" customHeight="1" x14ac:dyDescent="0.25">
      <c r="A119" s="9"/>
    </row>
    <row r="120" spans="1:1" ht="15.75" customHeight="1" x14ac:dyDescent="0.25">
      <c r="A120" s="9"/>
    </row>
    <row r="121" spans="1:1" ht="15.75" customHeight="1" x14ac:dyDescent="0.25">
      <c r="A121" s="9"/>
    </row>
    <row r="122" spans="1:1" ht="15.75" customHeight="1" x14ac:dyDescent="0.25">
      <c r="A122" s="9"/>
    </row>
    <row r="123" spans="1:1" ht="15.75" customHeight="1" x14ac:dyDescent="0.25">
      <c r="A123" s="9"/>
    </row>
    <row r="124" spans="1:1" ht="15.75" customHeight="1" x14ac:dyDescent="0.25">
      <c r="A124" s="9"/>
    </row>
    <row r="125" spans="1:1" ht="15.75" customHeight="1" x14ac:dyDescent="0.25">
      <c r="A125" s="9"/>
    </row>
    <row r="126" spans="1:1" ht="15.75" customHeight="1" x14ac:dyDescent="0.25">
      <c r="A126" s="9"/>
    </row>
    <row r="127" spans="1:1" ht="15.75" customHeight="1" x14ac:dyDescent="0.25">
      <c r="A127" s="9"/>
    </row>
    <row r="128" spans="1:1" ht="15.75" customHeight="1" x14ac:dyDescent="0.25">
      <c r="A128" s="9"/>
    </row>
    <row r="129" spans="1:1" ht="15.75" customHeight="1" x14ac:dyDescent="0.25">
      <c r="A129" s="9"/>
    </row>
    <row r="130" spans="1:1" ht="15.75" customHeight="1" x14ac:dyDescent="0.25">
      <c r="A130" s="9"/>
    </row>
    <row r="131" spans="1:1" ht="15.75" customHeight="1" x14ac:dyDescent="0.25">
      <c r="A131" s="9"/>
    </row>
    <row r="132" spans="1:1" ht="15.75" customHeight="1" x14ac:dyDescent="0.25">
      <c r="A132" s="9"/>
    </row>
    <row r="133" spans="1:1" ht="15.75" customHeight="1" x14ac:dyDescent="0.25">
      <c r="A133" s="9"/>
    </row>
    <row r="134" spans="1:1" ht="15.75" customHeight="1" x14ac:dyDescent="0.25">
      <c r="A134" s="9"/>
    </row>
    <row r="135" spans="1:1" ht="15.75" customHeight="1" x14ac:dyDescent="0.25">
      <c r="A135" s="9"/>
    </row>
    <row r="136" spans="1:1" ht="15.75" customHeight="1" x14ac:dyDescent="0.25">
      <c r="A136" s="9"/>
    </row>
    <row r="137" spans="1:1" ht="15.75" customHeight="1" x14ac:dyDescent="0.25">
      <c r="A137" s="9"/>
    </row>
    <row r="138" spans="1:1" ht="15.75" customHeight="1" x14ac:dyDescent="0.25">
      <c r="A138" s="9"/>
    </row>
    <row r="139" spans="1:1" ht="15.75" customHeight="1" x14ac:dyDescent="0.25">
      <c r="A139" s="9"/>
    </row>
    <row r="140" spans="1:1" ht="15.75" customHeight="1" x14ac:dyDescent="0.25">
      <c r="A140" s="9"/>
    </row>
    <row r="141" spans="1:1" ht="15.75" customHeight="1" x14ac:dyDescent="0.25">
      <c r="A141" s="9"/>
    </row>
    <row r="142" spans="1:1" ht="15.75" customHeight="1" x14ac:dyDescent="0.25">
      <c r="A142" s="9"/>
    </row>
    <row r="143" spans="1:1" ht="15.75" customHeight="1" x14ac:dyDescent="0.25">
      <c r="A143" s="9"/>
    </row>
    <row r="144" spans="1:1" ht="15.75" customHeight="1" x14ac:dyDescent="0.25">
      <c r="A144" s="9"/>
    </row>
    <row r="145" spans="1:1" ht="15.75" customHeight="1" x14ac:dyDescent="0.25">
      <c r="A145" s="9"/>
    </row>
    <row r="146" spans="1:1" ht="15.75" customHeight="1" x14ac:dyDescent="0.25">
      <c r="A146" s="9"/>
    </row>
    <row r="147" spans="1:1" ht="15.75" customHeight="1" x14ac:dyDescent="0.25">
      <c r="A147" s="9"/>
    </row>
    <row r="148" spans="1:1" ht="15.75" customHeight="1" x14ac:dyDescent="0.25">
      <c r="A148" s="9"/>
    </row>
    <row r="149" spans="1:1" ht="15.75" customHeight="1" x14ac:dyDescent="0.25">
      <c r="A149" s="9"/>
    </row>
    <row r="150" spans="1:1" ht="15.75" customHeight="1" x14ac:dyDescent="0.25">
      <c r="A150" s="9"/>
    </row>
    <row r="151" spans="1:1" ht="15.75" customHeight="1" x14ac:dyDescent="0.25">
      <c r="A151" s="9"/>
    </row>
    <row r="152" spans="1:1" ht="15.75" customHeight="1" x14ac:dyDescent="0.25">
      <c r="A152" s="9"/>
    </row>
    <row r="153" spans="1:1" ht="15.75" customHeight="1" x14ac:dyDescent="0.25">
      <c r="A153" s="9"/>
    </row>
    <row r="154" spans="1:1" ht="15.75" customHeight="1" x14ac:dyDescent="0.25">
      <c r="A154" s="9"/>
    </row>
    <row r="155" spans="1:1" ht="15.75" customHeight="1" x14ac:dyDescent="0.25">
      <c r="A155" s="9"/>
    </row>
    <row r="156" spans="1:1" ht="15.75" customHeight="1" x14ac:dyDescent="0.25">
      <c r="A156" s="9"/>
    </row>
    <row r="157" spans="1:1" ht="15.75" customHeight="1" x14ac:dyDescent="0.25">
      <c r="A157" s="9"/>
    </row>
    <row r="158" spans="1:1" ht="15.75" customHeight="1" x14ac:dyDescent="0.25">
      <c r="A158" s="9"/>
    </row>
    <row r="159" spans="1:1" ht="15.75" customHeight="1" x14ac:dyDescent="0.25">
      <c r="A159" s="9"/>
    </row>
    <row r="160" spans="1:1" ht="15.75" customHeight="1" x14ac:dyDescent="0.25">
      <c r="A160" s="9"/>
    </row>
    <row r="161" spans="1:1" ht="15.75" customHeight="1" x14ac:dyDescent="0.25">
      <c r="A161" s="9"/>
    </row>
    <row r="162" spans="1:1" ht="15.75" customHeight="1" x14ac:dyDescent="0.25">
      <c r="A162" s="9"/>
    </row>
    <row r="163" spans="1:1" ht="15.75" customHeight="1" x14ac:dyDescent="0.25">
      <c r="A163" s="9"/>
    </row>
    <row r="164" spans="1:1" ht="15.75" customHeight="1" x14ac:dyDescent="0.25">
      <c r="A164" s="9"/>
    </row>
    <row r="165" spans="1:1" ht="15.75" customHeight="1" x14ac:dyDescent="0.25">
      <c r="A165" s="9"/>
    </row>
    <row r="166" spans="1:1" ht="15.75" customHeight="1" x14ac:dyDescent="0.25">
      <c r="A166" s="9"/>
    </row>
    <row r="167" spans="1:1" ht="15.75" customHeight="1" x14ac:dyDescent="0.25">
      <c r="A167" s="9"/>
    </row>
    <row r="168" spans="1:1" ht="15.75" customHeight="1" x14ac:dyDescent="0.25">
      <c r="A168" s="9"/>
    </row>
    <row r="169" spans="1:1" ht="15.75" customHeight="1" x14ac:dyDescent="0.25">
      <c r="A169" s="9"/>
    </row>
    <row r="170" spans="1:1" ht="15.75" customHeight="1" x14ac:dyDescent="0.25">
      <c r="A170" s="9"/>
    </row>
    <row r="171" spans="1:1" ht="15.75" customHeight="1" x14ac:dyDescent="0.25">
      <c r="A171" s="9"/>
    </row>
    <row r="172" spans="1:1" ht="15.75" customHeight="1" x14ac:dyDescent="0.25">
      <c r="A172" s="9"/>
    </row>
    <row r="173" spans="1:1" ht="15.75" customHeight="1" x14ac:dyDescent="0.25">
      <c r="A173" s="9"/>
    </row>
    <row r="174" spans="1:1" ht="15.75" customHeight="1" x14ac:dyDescent="0.25">
      <c r="A174" s="9"/>
    </row>
    <row r="175" spans="1:1" ht="15.75" customHeight="1" x14ac:dyDescent="0.25">
      <c r="A175" s="9"/>
    </row>
    <row r="176" spans="1:1" ht="15.75" customHeight="1" x14ac:dyDescent="0.25">
      <c r="A176" s="9"/>
    </row>
    <row r="177" spans="1:1" ht="15.75" customHeight="1" x14ac:dyDescent="0.25">
      <c r="A177" s="9"/>
    </row>
    <row r="178" spans="1:1" ht="15.75" customHeight="1" x14ac:dyDescent="0.25">
      <c r="A178" s="9"/>
    </row>
    <row r="179" spans="1:1" ht="15.75" customHeight="1" x14ac:dyDescent="0.25">
      <c r="A179" s="9"/>
    </row>
    <row r="180" spans="1:1" ht="15.75" customHeight="1" x14ac:dyDescent="0.25">
      <c r="A180" s="9"/>
    </row>
    <row r="181" spans="1:1" ht="15.75" customHeight="1" x14ac:dyDescent="0.25">
      <c r="A181" s="9"/>
    </row>
    <row r="182" spans="1:1" ht="15.75" customHeight="1" x14ac:dyDescent="0.25">
      <c r="A182" s="9"/>
    </row>
    <row r="183" spans="1:1" ht="15.75" customHeight="1" x14ac:dyDescent="0.25">
      <c r="A183" s="9"/>
    </row>
    <row r="184" spans="1:1" ht="15.75" customHeight="1" x14ac:dyDescent="0.25">
      <c r="A184" s="9"/>
    </row>
    <row r="185" spans="1:1" ht="15.75" customHeight="1" x14ac:dyDescent="0.25">
      <c r="A185" s="9"/>
    </row>
    <row r="186" spans="1:1" ht="15.75" customHeight="1" x14ac:dyDescent="0.25">
      <c r="A186" s="9"/>
    </row>
    <row r="187" spans="1:1" ht="15.75" customHeight="1" x14ac:dyDescent="0.25">
      <c r="A187" s="9"/>
    </row>
    <row r="188" spans="1:1" ht="15.75" customHeight="1" x14ac:dyDescent="0.25">
      <c r="A188" s="9"/>
    </row>
    <row r="189" spans="1:1" ht="15.75" customHeight="1" x14ac:dyDescent="0.25">
      <c r="A189" s="9"/>
    </row>
    <row r="190" spans="1:1" ht="15.75" customHeight="1" x14ac:dyDescent="0.25">
      <c r="A190" s="9"/>
    </row>
    <row r="191" spans="1:1" ht="15.75" customHeight="1" x14ac:dyDescent="0.25">
      <c r="A191" s="9"/>
    </row>
    <row r="192" spans="1:1" ht="15.75" customHeight="1" x14ac:dyDescent="0.25">
      <c r="A192" s="9"/>
    </row>
    <row r="193" spans="1:1" ht="15.75" customHeight="1" x14ac:dyDescent="0.25">
      <c r="A193" s="9"/>
    </row>
    <row r="194" spans="1:1" ht="15.75" customHeight="1" x14ac:dyDescent="0.25">
      <c r="A194" s="9"/>
    </row>
    <row r="195" spans="1:1" ht="15.75" customHeight="1" x14ac:dyDescent="0.25">
      <c r="A195" s="9"/>
    </row>
    <row r="196" spans="1:1" ht="15.75" customHeight="1" x14ac:dyDescent="0.25">
      <c r="A196" s="9"/>
    </row>
    <row r="197" spans="1:1" ht="15.75" customHeight="1" x14ac:dyDescent="0.25">
      <c r="A197" s="9"/>
    </row>
    <row r="198" spans="1:1" ht="15.75" customHeight="1" x14ac:dyDescent="0.25">
      <c r="A198" s="9"/>
    </row>
    <row r="199" spans="1:1" ht="15.75" customHeight="1" x14ac:dyDescent="0.25">
      <c r="A199" s="9"/>
    </row>
    <row r="200" spans="1:1" ht="15.75" customHeight="1" x14ac:dyDescent="0.25">
      <c r="A200" s="9"/>
    </row>
    <row r="201" spans="1:1" ht="15.75" customHeight="1" x14ac:dyDescent="0.25">
      <c r="A201" s="9"/>
    </row>
    <row r="202" spans="1:1" ht="15.75" customHeight="1" x14ac:dyDescent="0.25">
      <c r="A202" s="9"/>
    </row>
    <row r="203" spans="1:1" ht="15.75" customHeight="1" x14ac:dyDescent="0.25">
      <c r="A203" s="9"/>
    </row>
    <row r="204" spans="1:1" ht="15.75" customHeight="1" x14ac:dyDescent="0.25">
      <c r="A204" s="9"/>
    </row>
    <row r="205" spans="1:1" ht="15.75" customHeight="1" x14ac:dyDescent="0.25">
      <c r="A205" s="9"/>
    </row>
    <row r="206" spans="1:1" ht="15.75" customHeight="1" x14ac:dyDescent="0.25">
      <c r="A206" s="9"/>
    </row>
    <row r="207" spans="1:1" ht="15.75" customHeight="1" x14ac:dyDescent="0.25">
      <c r="A207" s="9"/>
    </row>
    <row r="208" spans="1:1" ht="15.75" customHeight="1" x14ac:dyDescent="0.25">
      <c r="A208" s="9"/>
    </row>
    <row r="209" spans="1:1" ht="15.75" customHeight="1" x14ac:dyDescent="0.25">
      <c r="A209" s="9"/>
    </row>
    <row r="210" spans="1:1" ht="15.75" customHeight="1" x14ac:dyDescent="0.25">
      <c r="A210" s="9"/>
    </row>
    <row r="211" spans="1:1" ht="15.75" customHeight="1" x14ac:dyDescent="0.25">
      <c r="A211" s="9"/>
    </row>
    <row r="212" spans="1:1" ht="15.75" customHeight="1" x14ac:dyDescent="0.25">
      <c r="A212" s="9"/>
    </row>
    <row r="213" spans="1:1" ht="15.75" customHeight="1" x14ac:dyDescent="0.25">
      <c r="A213" s="9"/>
    </row>
    <row r="214" spans="1:1" ht="15.75" customHeight="1" x14ac:dyDescent="0.25">
      <c r="A214" s="9"/>
    </row>
    <row r="215" spans="1:1" ht="15.75" customHeight="1" x14ac:dyDescent="0.25">
      <c r="A215" s="9"/>
    </row>
    <row r="216" spans="1:1" ht="15.75" customHeight="1" x14ac:dyDescent="0.25">
      <c r="A216" s="9"/>
    </row>
    <row r="217" spans="1:1" ht="15.75" customHeight="1" x14ac:dyDescent="0.25">
      <c r="A217" s="9"/>
    </row>
    <row r="218" spans="1:1" ht="15.75" customHeight="1" x14ac:dyDescent="0.25">
      <c r="A218" s="9"/>
    </row>
    <row r="219" spans="1:1" ht="15.75" customHeight="1" x14ac:dyDescent="0.25">
      <c r="A219" s="9"/>
    </row>
    <row r="220" spans="1:1" ht="15.75" customHeight="1" x14ac:dyDescent="0.25">
      <c r="A220" s="9"/>
    </row>
    <row r="221" spans="1:1" ht="15.75" customHeight="1" x14ac:dyDescent="0.25">
      <c r="A221" s="9"/>
    </row>
    <row r="222" spans="1:1" ht="15.75" customHeight="1" x14ac:dyDescent="0.25">
      <c r="A222" s="9"/>
    </row>
    <row r="223" spans="1:1" ht="15.75" customHeight="1" x14ac:dyDescent="0.25">
      <c r="A223" s="9"/>
    </row>
    <row r="224" spans="1:1" ht="15.75" customHeight="1" x14ac:dyDescent="0.25">
      <c r="A224" s="9"/>
    </row>
    <row r="225" spans="1:1" ht="15.75" customHeight="1" x14ac:dyDescent="0.25">
      <c r="A225" s="9"/>
    </row>
    <row r="226" spans="1:1" ht="15.75" customHeight="1" x14ac:dyDescent="0.25">
      <c r="A226" s="9"/>
    </row>
    <row r="227" spans="1:1" ht="15.75" customHeight="1" x14ac:dyDescent="0.25">
      <c r="A227" s="9"/>
    </row>
    <row r="228" spans="1:1" ht="15.75" customHeight="1" x14ac:dyDescent="0.25">
      <c r="A228" s="9"/>
    </row>
    <row r="229" spans="1:1" ht="15.75" customHeight="1" x14ac:dyDescent="0.25">
      <c r="A229" s="9"/>
    </row>
    <row r="230" spans="1:1" ht="15.75" customHeight="1" x14ac:dyDescent="0.25">
      <c r="A230" s="9"/>
    </row>
    <row r="231" spans="1:1" ht="15.75" customHeight="1" x14ac:dyDescent="0.25">
      <c r="A231" s="9"/>
    </row>
    <row r="232" spans="1:1" ht="15.75" customHeight="1" x14ac:dyDescent="0.25">
      <c r="A232" s="9"/>
    </row>
    <row r="233" spans="1:1" ht="15.75" customHeight="1" x14ac:dyDescent="0.25">
      <c r="A233" s="9"/>
    </row>
    <row r="234" spans="1:1" ht="15.75" customHeight="1" x14ac:dyDescent="0.25">
      <c r="A234" s="9"/>
    </row>
    <row r="235" spans="1:1" ht="15.75" customHeight="1" x14ac:dyDescent="0.25">
      <c r="A235" s="9"/>
    </row>
    <row r="236" spans="1:1" ht="15.75" customHeight="1" x14ac:dyDescent="0.25">
      <c r="A236" s="9"/>
    </row>
    <row r="237" spans="1:1" ht="15.75" customHeight="1" x14ac:dyDescent="0.25">
      <c r="A237" s="9"/>
    </row>
    <row r="238" spans="1:1" ht="15.75" customHeight="1" x14ac:dyDescent="0.25">
      <c r="A238" s="9"/>
    </row>
    <row r="239" spans="1:1" ht="15.75" customHeight="1" x14ac:dyDescent="0.25">
      <c r="A239" s="9"/>
    </row>
    <row r="240" spans="1:1" ht="15.75" customHeight="1" x14ac:dyDescent="0.25">
      <c r="A240" s="9"/>
    </row>
    <row r="241" spans="1:1" ht="15.75" customHeight="1" x14ac:dyDescent="0.25">
      <c r="A241" s="9"/>
    </row>
    <row r="242" spans="1:1" ht="15.75" customHeight="1" x14ac:dyDescent="0.25">
      <c r="A242" s="9"/>
    </row>
    <row r="243" spans="1:1" ht="15.75" customHeight="1" x14ac:dyDescent="0.25">
      <c r="A243" s="9"/>
    </row>
    <row r="244" spans="1:1" ht="15.75" customHeight="1" x14ac:dyDescent="0.25">
      <c r="A244" s="9"/>
    </row>
    <row r="245" spans="1:1" ht="15.75" customHeight="1" x14ac:dyDescent="0.25">
      <c r="A245" s="9"/>
    </row>
    <row r="246" spans="1:1" ht="15.75" customHeight="1" x14ac:dyDescent="0.25">
      <c r="A246" s="9"/>
    </row>
    <row r="247" spans="1:1" ht="15.75" customHeight="1" x14ac:dyDescent="0.25">
      <c r="A247" s="9"/>
    </row>
    <row r="248" spans="1:1" ht="15.75" customHeight="1" x14ac:dyDescent="0.25">
      <c r="A248" s="9"/>
    </row>
    <row r="249" spans="1:1" ht="15.75" customHeight="1" x14ac:dyDescent="0.25">
      <c r="A249" s="9"/>
    </row>
    <row r="250" spans="1:1" ht="15.75" customHeight="1" x14ac:dyDescent="0.25">
      <c r="A250" s="9"/>
    </row>
    <row r="251" spans="1:1" ht="15.75" customHeight="1" x14ac:dyDescent="0.25">
      <c r="A251" s="9"/>
    </row>
    <row r="252" spans="1:1" ht="15.75" customHeight="1" x14ac:dyDescent="0.25">
      <c r="A252" s="9"/>
    </row>
    <row r="253" spans="1:1" ht="15.75" customHeight="1" x14ac:dyDescent="0.25">
      <c r="A253" s="9"/>
    </row>
    <row r="254" spans="1:1" ht="15.75" customHeight="1" x14ac:dyDescent="0.25">
      <c r="A254" s="9"/>
    </row>
    <row r="255" spans="1:1" ht="15.75" customHeight="1" x14ac:dyDescent="0.25">
      <c r="A255" s="9"/>
    </row>
    <row r="256" spans="1:1" ht="15.75" customHeight="1" x14ac:dyDescent="0.25">
      <c r="A256" s="9"/>
    </row>
    <row r="257" spans="1:1" ht="15.75" customHeight="1" x14ac:dyDescent="0.25">
      <c r="A257" s="9"/>
    </row>
    <row r="258" spans="1:1" ht="15.75" customHeight="1" x14ac:dyDescent="0.25">
      <c r="A258" s="9"/>
    </row>
    <row r="259" spans="1:1" ht="15.75" customHeight="1" x14ac:dyDescent="0.25">
      <c r="A259" s="9"/>
    </row>
    <row r="260" spans="1:1" ht="15.75" customHeight="1" x14ac:dyDescent="0.25">
      <c r="A260" s="9"/>
    </row>
    <row r="261" spans="1:1" ht="15.75" customHeight="1" x14ac:dyDescent="0.25">
      <c r="A261" s="9"/>
    </row>
    <row r="262" spans="1:1" ht="15.75" customHeight="1" x14ac:dyDescent="0.25">
      <c r="A262" s="9"/>
    </row>
    <row r="263" spans="1:1" ht="15.75" customHeight="1" x14ac:dyDescent="0.25">
      <c r="A263" s="9"/>
    </row>
    <row r="264" spans="1:1" ht="15.75" customHeight="1" x14ac:dyDescent="0.25">
      <c r="A264" s="9"/>
    </row>
    <row r="265" spans="1:1" ht="15.75" customHeight="1" x14ac:dyDescent="0.25">
      <c r="A265" s="9"/>
    </row>
    <row r="266" spans="1:1" ht="15.75" customHeight="1" x14ac:dyDescent="0.25">
      <c r="A266" s="9"/>
    </row>
    <row r="267" spans="1:1" ht="15.75" customHeight="1" x14ac:dyDescent="0.25">
      <c r="A267" s="9"/>
    </row>
    <row r="268" spans="1:1" ht="15.75" customHeight="1" x14ac:dyDescent="0.25">
      <c r="A268" s="9"/>
    </row>
    <row r="269" spans="1:1" ht="15.75" customHeight="1" x14ac:dyDescent="0.25">
      <c r="A269" s="9"/>
    </row>
    <row r="270" spans="1:1" ht="15.75" customHeight="1" x14ac:dyDescent="0.25">
      <c r="A270" s="9"/>
    </row>
    <row r="271" spans="1:1" ht="15.75" customHeight="1" x14ac:dyDescent="0.25">
      <c r="A271" s="9"/>
    </row>
    <row r="272" spans="1:1" ht="15.75" customHeight="1" x14ac:dyDescent="0.25">
      <c r="A272" s="9"/>
    </row>
    <row r="273" spans="1:1" ht="15.75" customHeight="1" x14ac:dyDescent="0.25">
      <c r="A273" s="9"/>
    </row>
    <row r="274" spans="1:1" ht="15.75" customHeight="1" x14ac:dyDescent="0.25">
      <c r="A274" s="9"/>
    </row>
    <row r="275" spans="1:1" ht="15.75" customHeight="1" x14ac:dyDescent="0.25">
      <c r="A275" s="9"/>
    </row>
    <row r="276" spans="1:1" ht="15.75" customHeight="1" x14ac:dyDescent="0.25">
      <c r="A276" s="9"/>
    </row>
    <row r="277" spans="1:1" ht="15.75" customHeight="1" x14ac:dyDescent="0.25">
      <c r="A277" s="9"/>
    </row>
    <row r="278" spans="1:1" ht="15.75" customHeight="1" x14ac:dyDescent="0.25">
      <c r="A278" s="9"/>
    </row>
    <row r="279" spans="1:1" ht="15.75" customHeight="1" x14ac:dyDescent="0.25">
      <c r="A279" s="9"/>
    </row>
    <row r="280" spans="1:1" ht="15.75" customHeight="1" x14ac:dyDescent="0.25">
      <c r="A280" s="9"/>
    </row>
    <row r="281" spans="1:1" ht="15.75" customHeight="1" x14ac:dyDescent="0.25">
      <c r="A281" s="9"/>
    </row>
    <row r="282" spans="1:1" ht="15.75" customHeight="1" x14ac:dyDescent="0.25">
      <c r="A282" s="9"/>
    </row>
    <row r="283" spans="1:1" ht="15.75" customHeight="1" x14ac:dyDescent="0.25">
      <c r="A283" s="9"/>
    </row>
    <row r="284" spans="1:1" ht="15.75" customHeight="1" x14ac:dyDescent="0.25">
      <c r="A284" s="9"/>
    </row>
    <row r="285" spans="1:1" ht="15.75" customHeight="1" x14ac:dyDescent="0.25">
      <c r="A285" s="9"/>
    </row>
    <row r="286" spans="1:1" ht="15.75" customHeight="1" x14ac:dyDescent="0.25">
      <c r="A286" s="9"/>
    </row>
    <row r="287" spans="1:1" ht="15.75" customHeight="1" x14ac:dyDescent="0.25">
      <c r="A287" s="9"/>
    </row>
    <row r="288" spans="1:1" ht="15.75" customHeight="1" x14ac:dyDescent="0.25">
      <c r="A288" s="9"/>
    </row>
    <row r="289" spans="1:1" ht="15.75" customHeight="1" x14ac:dyDescent="0.25">
      <c r="A289" s="9"/>
    </row>
    <row r="290" spans="1:1" ht="15.75" customHeight="1" x14ac:dyDescent="0.25">
      <c r="A290" s="9"/>
    </row>
    <row r="291" spans="1:1" ht="15.75" customHeight="1" x14ac:dyDescent="0.25">
      <c r="A291" s="9"/>
    </row>
    <row r="292" spans="1:1" ht="15.75" customHeight="1" x14ac:dyDescent="0.25">
      <c r="A292" s="9"/>
    </row>
    <row r="293" spans="1:1" ht="15.75" customHeight="1" x14ac:dyDescent="0.25">
      <c r="A293" s="9"/>
    </row>
    <row r="294" spans="1:1" ht="15.75" customHeight="1" x14ac:dyDescent="0.25">
      <c r="A294" s="9"/>
    </row>
    <row r="295" spans="1:1" ht="15.75" customHeight="1" x14ac:dyDescent="0.25">
      <c r="A295" s="9"/>
    </row>
    <row r="296" spans="1:1" ht="15.75" customHeight="1" x14ac:dyDescent="0.25">
      <c r="A296" s="9"/>
    </row>
    <row r="297" spans="1:1" ht="15.75" customHeight="1" x14ac:dyDescent="0.25">
      <c r="A297" s="9"/>
    </row>
    <row r="298" spans="1:1" ht="15.75" customHeight="1" x14ac:dyDescent="0.25">
      <c r="A298" s="9"/>
    </row>
    <row r="299" spans="1:1" ht="15.75" customHeight="1" x14ac:dyDescent="0.25">
      <c r="A299" s="9"/>
    </row>
    <row r="300" spans="1:1" ht="15.75" customHeight="1" x14ac:dyDescent="0.25">
      <c r="A300" s="9"/>
    </row>
    <row r="301" spans="1:1" ht="15.75" customHeight="1" x14ac:dyDescent="0.25">
      <c r="A301" s="9"/>
    </row>
    <row r="302" spans="1:1" ht="15.75" customHeight="1" x14ac:dyDescent="0.25">
      <c r="A302" s="9"/>
    </row>
    <row r="303" spans="1:1" ht="15.75" customHeight="1" x14ac:dyDescent="0.25">
      <c r="A303" s="9"/>
    </row>
    <row r="304" spans="1:1" ht="15.75" customHeight="1" x14ac:dyDescent="0.25">
      <c r="A304" s="9"/>
    </row>
    <row r="305" spans="1:1" ht="15.75" customHeight="1" x14ac:dyDescent="0.25">
      <c r="A305" s="9"/>
    </row>
    <row r="306" spans="1:1" ht="15.75" customHeight="1" x14ac:dyDescent="0.25">
      <c r="A306" s="9"/>
    </row>
    <row r="307" spans="1:1" ht="15.75" customHeight="1" x14ac:dyDescent="0.25">
      <c r="A307" s="9"/>
    </row>
    <row r="308" spans="1:1" ht="15.75" customHeight="1" x14ac:dyDescent="0.25">
      <c r="A308" s="9"/>
    </row>
    <row r="309" spans="1:1" ht="15.75" customHeight="1" x14ac:dyDescent="0.25">
      <c r="A309" s="9"/>
    </row>
    <row r="310" spans="1:1" ht="15.75" customHeight="1" x14ac:dyDescent="0.25">
      <c r="A310" s="9"/>
    </row>
    <row r="311" spans="1:1" ht="15.75" customHeight="1" x14ac:dyDescent="0.25">
      <c r="A311" s="9"/>
    </row>
    <row r="312" spans="1:1" ht="15.75" customHeight="1" x14ac:dyDescent="0.25">
      <c r="A312" s="9"/>
    </row>
    <row r="313" spans="1:1" ht="15.75" customHeight="1" x14ac:dyDescent="0.25">
      <c r="A313" s="9"/>
    </row>
    <row r="314" spans="1:1" ht="15.75" customHeight="1" x14ac:dyDescent="0.25">
      <c r="A314" s="9"/>
    </row>
    <row r="315" spans="1:1" ht="15.75" customHeight="1" x14ac:dyDescent="0.25">
      <c r="A315" s="9"/>
    </row>
    <row r="316" spans="1:1" ht="15.75" customHeight="1" x14ac:dyDescent="0.25">
      <c r="A316" s="9"/>
    </row>
    <row r="317" spans="1:1" ht="15.75" customHeight="1" x14ac:dyDescent="0.25">
      <c r="A317" s="9"/>
    </row>
    <row r="318" spans="1:1" ht="15.75" customHeight="1" x14ac:dyDescent="0.25">
      <c r="A318" s="9"/>
    </row>
    <row r="319" spans="1:1" ht="15.75" customHeight="1" x14ac:dyDescent="0.25">
      <c r="A319" s="9"/>
    </row>
    <row r="320" spans="1:1" ht="15.75" customHeight="1" x14ac:dyDescent="0.25">
      <c r="A320" s="9"/>
    </row>
    <row r="321" spans="1:1" ht="15.75" customHeight="1" x14ac:dyDescent="0.25">
      <c r="A321" s="9"/>
    </row>
    <row r="322" spans="1:1" ht="15.75" customHeight="1" x14ac:dyDescent="0.25">
      <c r="A322" s="9"/>
    </row>
    <row r="323" spans="1:1" ht="15.75" customHeight="1" x14ac:dyDescent="0.25">
      <c r="A323" s="9"/>
    </row>
    <row r="324" spans="1:1" ht="15.75" customHeight="1" x14ac:dyDescent="0.25">
      <c r="A324" s="9"/>
    </row>
    <row r="325" spans="1:1" ht="15.75" customHeight="1" x14ac:dyDescent="0.25">
      <c r="A325" s="9"/>
    </row>
    <row r="326" spans="1:1" ht="15.75" customHeight="1" x14ac:dyDescent="0.25">
      <c r="A326" s="9"/>
    </row>
    <row r="327" spans="1:1" ht="15.75" customHeight="1" x14ac:dyDescent="0.25">
      <c r="A327" s="9"/>
    </row>
    <row r="328" spans="1:1" ht="15.75" customHeight="1" x14ac:dyDescent="0.25">
      <c r="A328" s="9"/>
    </row>
    <row r="329" spans="1:1" ht="15.75" customHeight="1" x14ac:dyDescent="0.25">
      <c r="A329" s="9"/>
    </row>
    <row r="330" spans="1:1" ht="15.75" customHeight="1" x14ac:dyDescent="0.25">
      <c r="A330" s="9"/>
    </row>
    <row r="331" spans="1:1" ht="15.75" customHeight="1" x14ac:dyDescent="0.25">
      <c r="A331" s="9"/>
    </row>
    <row r="332" spans="1:1" ht="15.75" customHeight="1" x14ac:dyDescent="0.25">
      <c r="A332" s="9"/>
    </row>
    <row r="333" spans="1:1" ht="15.75" customHeight="1" x14ac:dyDescent="0.25">
      <c r="A333" s="9"/>
    </row>
    <row r="334" spans="1:1" ht="15.75" customHeight="1" x14ac:dyDescent="0.25">
      <c r="A334" s="9"/>
    </row>
    <row r="335" spans="1:1" ht="15.75" customHeight="1" x14ac:dyDescent="0.25">
      <c r="A335" s="9"/>
    </row>
    <row r="336" spans="1:1" ht="15.75" customHeight="1" x14ac:dyDescent="0.25">
      <c r="A336" s="9"/>
    </row>
    <row r="337" spans="1:1" ht="15.75" customHeight="1" x14ac:dyDescent="0.25">
      <c r="A337" s="9"/>
    </row>
    <row r="338" spans="1:1" ht="15.75" customHeight="1" x14ac:dyDescent="0.25">
      <c r="A338" s="9"/>
    </row>
    <row r="339" spans="1:1" ht="15.75" customHeight="1" x14ac:dyDescent="0.25">
      <c r="A339" s="9"/>
    </row>
    <row r="340" spans="1:1" ht="15.75" customHeight="1" x14ac:dyDescent="0.25">
      <c r="A340" s="9"/>
    </row>
    <row r="341" spans="1:1" ht="15.75" customHeight="1" x14ac:dyDescent="0.25">
      <c r="A341" s="9"/>
    </row>
    <row r="342" spans="1:1" ht="15.75" customHeight="1" x14ac:dyDescent="0.25">
      <c r="A342" s="9"/>
    </row>
    <row r="343" spans="1:1" ht="15.75" customHeight="1" x14ac:dyDescent="0.25">
      <c r="A343" s="9"/>
    </row>
    <row r="344" spans="1:1" ht="15.75" customHeight="1" x14ac:dyDescent="0.25">
      <c r="A344" s="9"/>
    </row>
    <row r="345" spans="1:1" ht="15.75" customHeight="1" x14ac:dyDescent="0.25">
      <c r="A345" s="9"/>
    </row>
    <row r="346" spans="1:1" ht="15.75" customHeight="1" x14ac:dyDescent="0.25">
      <c r="A346" s="9"/>
    </row>
    <row r="347" spans="1:1" ht="15.75" customHeight="1" x14ac:dyDescent="0.25">
      <c r="A347" s="9"/>
    </row>
    <row r="348" spans="1:1" ht="15.75" customHeight="1" x14ac:dyDescent="0.25">
      <c r="A348" s="9"/>
    </row>
    <row r="349" spans="1:1" ht="15.75" customHeight="1" x14ac:dyDescent="0.25">
      <c r="A349" s="9"/>
    </row>
    <row r="350" spans="1:1" ht="15.75" customHeight="1" x14ac:dyDescent="0.25">
      <c r="A350" s="9"/>
    </row>
    <row r="351" spans="1:1" ht="15.75" customHeight="1" x14ac:dyDescent="0.25">
      <c r="A351" s="9"/>
    </row>
    <row r="352" spans="1:1" ht="15.75" customHeight="1" x14ac:dyDescent="0.25">
      <c r="A352" s="9"/>
    </row>
    <row r="353" spans="1:1" ht="15.75" customHeight="1" x14ac:dyDescent="0.25">
      <c r="A353" s="9"/>
    </row>
    <row r="354" spans="1:1" ht="15.75" customHeight="1" x14ac:dyDescent="0.25">
      <c r="A354" s="9"/>
    </row>
    <row r="355" spans="1:1" ht="15.75" customHeight="1" x14ac:dyDescent="0.25">
      <c r="A355" s="9"/>
    </row>
    <row r="356" spans="1:1" ht="15.75" customHeight="1" x14ac:dyDescent="0.25">
      <c r="A356" s="9"/>
    </row>
    <row r="357" spans="1:1" ht="15.75" customHeight="1" x14ac:dyDescent="0.25">
      <c r="A357" s="9"/>
    </row>
    <row r="358" spans="1:1" ht="15.75" customHeight="1" x14ac:dyDescent="0.25">
      <c r="A358" s="9"/>
    </row>
    <row r="359" spans="1:1" ht="15.75" customHeight="1" x14ac:dyDescent="0.25">
      <c r="A359" s="9"/>
    </row>
    <row r="360" spans="1:1" ht="15.75" customHeight="1" x14ac:dyDescent="0.25">
      <c r="A360" s="9"/>
    </row>
    <row r="361" spans="1:1" ht="15.75" customHeight="1" x14ac:dyDescent="0.25">
      <c r="A361" s="9"/>
    </row>
    <row r="362" spans="1:1" ht="15.75" customHeight="1" x14ac:dyDescent="0.25">
      <c r="A362" s="9"/>
    </row>
    <row r="363" spans="1:1" ht="15.75" customHeight="1" x14ac:dyDescent="0.25">
      <c r="A363" s="9"/>
    </row>
    <row r="364" spans="1:1" ht="15.75" customHeight="1" x14ac:dyDescent="0.25">
      <c r="A364" s="9"/>
    </row>
    <row r="365" spans="1:1" ht="15.75" customHeight="1" x14ac:dyDescent="0.25">
      <c r="A365" s="9"/>
    </row>
    <row r="366" spans="1:1" ht="15.75" customHeight="1" x14ac:dyDescent="0.25">
      <c r="A366" s="9"/>
    </row>
    <row r="367" spans="1:1" ht="15.75" customHeight="1" x14ac:dyDescent="0.25">
      <c r="A367" s="9"/>
    </row>
    <row r="368" spans="1:1" ht="15.75" customHeight="1" x14ac:dyDescent="0.25">
      <c r="A368" s="9"/>
    </row>
    <row r="369" spans="1:1" ht="15.75" customHeight="1" x14ac:dyDescent="0.25">
      <c r="A369" s="9"/>
    </row>
    <row r="370" spans="1:1" ht="15.75" customHeight="1" x14ac:dyDescent="0.25">
      <c r="A370" s="9"/>
    </row>
    <row r="371" spans="1:1" ht="15.75" customHeight="1" x14ac:dyDescent="0.25">
      <c r="A371" s="9"/>
    </row>
    <row r="372" spans="1:1" ht="15.75" customHeight="1" x14ac:dyDescent="0.25">
      <c r="A372" s="9"/>
    </row>
    <row r="373" spans="1:1" ht="15.75" customHeight="1" x14ac:dyDescent="0.25">
      <c r="A373" s="9"/>
    </row>
    <row r="374" spans="1:1" ht="15.75" customHeight="1" x14ac:dyDescent="0.25">
      <c r="A374" s="9"/>
    </row>
    <row r="375" spans="1:1" ht="15.75" customHeight="1" x14ac:dyDescent="0.25">
      <c r="A375" s="9"/>
    </row>
    <row r="376" spans="1:1" ht="15.75" customHeight="1" x14ac:dyDescent="0.25">
      <c r="A376" s="9"/>
    </row>
    <row r="377" spans="1:1" ht="15.75" customHeight="1" x14ac:dyDescent="0.25">
      <c r="A377" s="9"/>
    </row>
    <row r="378" spans="1:1" ht="15.75" customHeight="1" x14ac:dyDescent="0.25">
      <c r="A378" s="9"/>
    </row>
    <row r="379" spans="1:1" ht="15.75" customHeight="1" x14ac:dyDescent="0.25">
      <c r="A379" s="9"/>
    </row>
    <row r="380" spans="1:1" ht="15.75" customHeight="1" x14ac:dyDescent="0.25">
      <c r="A380" s="9"/>
    </row>
    <row r="381" spans="1:1" ht="15.75" customHeight="1" x14ac:dyDescent="0.25">
      <c r="A381" s="9"/>
    </row>
    <row r="382" spans="1:1" ht="15.75" customHeight="1" x14ac:dyDescent="0.25">
      <c r="A382" s="9"/>
    </row>
    <row r="383" spans="1:1" ht="15.75" customHeight="1" x14ac:dyDescent="0.25">
      <c r="A383" s="9"/>
    </row>
    <row r="384" spans="1:1" ht="15.75" customHeight="1" x14ac:dyDescent="0.25">
      <c r="A384" s="9"/>
    </row>
    <row r="385" spans="1:1" ht="15.75" customHeight="1" x14ac:dyDescent="0.25">
      <c r="A385" s="9"/>
    </row>
    <row r="386" spans="1:1" ht="15.75" customHeight="1" x14ac:dyDescent="0.25">
      <c r="A386" s="9"/>
    </row>
    <row r="387" spans="1:1" ht="15.75" customHeight="1" x14ac:dyDescent="0.25">
      <c r="A387" s="9"/>
    </row>
    <row r="388" spans="1:1" ht="15.75" customHeight="1" x14ac:dyDescent="0.25">
      <c r="A388" s="9"/>
    </row>
    <row r="389" spans="1:1" ht="15.75" customHeight="1" x14ac:dyDescent="0.25">
      <c r="A389" s="9"/>
    </row>
    <row r="390" spans="1:1" ht="15.75" customHeight="1" x14ac:dyDescent="0.25">
      <c r="A390" s="9"/>
    </row>
    <row r="391" spans="1:1" ht="15.75" customHeight="1" x14ac:dyDescent="0.25">
      <c r="A391" s="9"/>
    </row>
    <row r="392" spans="1:1" ht="15.75" customHeight="1" x14ac:dyDescent="0.25">
      <c r="A392" s="9"/>
    </row>
    <row r="393" spans="1:1" ht="15.75" customHeight="1" x14ac:dyDescent="0.25">
      <c r="A393" s="9"/>
    </row>
    <row r="394" spans="1:1" ht="15.75" customHeight="1" x14ac:dyDescent="0.25">
      <c r="A394" s="9"/>
    </row>
    <row r="395" spans="1:1" ht="15.75" customHeight="1" x14ac:dyDescent="0.25">
      <c r="A395" s="9"/>
    </row>
    <row r="396" spans="1:1" ht="15.75" customHeight="1" x14ac:dyDescent="0.25">
      <c r="A396" s="9"/>
    </row>
    <row r="397" spans="1:1" ht="15.75" customHeight="1" x14ac:dyDescent="0.25">
      <c r="A397" s="9"/>
    </row>
    <row r="398" spans="1:1" ht="15.75" customHeight="1" x14ac:dyDescent="0.25">
      <c r="A398" s="9"/>
    </row>
    <row r="399" spans="1:1" ht="15.75" customHeight="1" x14ac:dyDescent="0.25">
      <c r="A399" s="9"/>
    </row>
    <row r="400" spans="1:1" ht="15.75" customHeight="1" x14ac:dyDescent="0.25">
      <c r="A400" s="9"/>
    </row>
    <row r="401" spans="1:1" ht="15.75" customHeight="1" x14ac:dyDescent="0.25">
      <c r="A401" s="9"/>
    </row>
    <row r="402" spans="1:1" ht="15.75" customHeight="1" x14ac:dyDescent="0.25">
      <c r="A402" s="9"/>
    </row>
    <row r="403" spans="1:1" ht="15.75" customHeight="1" x14ac:dyDescent="0.25">
      <c r="A403" s="9"/>
    </row>
    <row r="404" spans="1:1" ht="15.75" customHeight="1" x14ac:dyDescent="0.25">
      <c r="A404" s="9"/>
    </row>
    <row r="405" spans="1:1" ht="15.75" customHeight="1" x14ac:dyDescent="0.25">
      <c r="A405" s="9"/>
    </row>
    <row r="406" spans="1:1" ht="15.75" customHeight="1" x14ac:dyDescent="0.25">
      <c r="A406" s="9"/>
    </row>
    <row r="407" spans="1:1" ht="15.75" customHeight="1" x14ac:dyDescent="0.25">
      <c r="A407" s="9"/>
    </row>
    <row r="408" spans="1:1" ht="15.75" customHeight="1" x14ac:dyDescent="0.25">
      <c r="A408" s="9"/>
    </row>
    <row r="409" spans="1:1" ht="15.75" customHeight="1" x14ac:dyDescent="0.25">
      <c r="A409" s="9"/>
    </row>
    <row r="410" spans="1:1" ht="15.75" customHeight="1" x14ac:dyDescent="0.25">
      <c r="A410" s="9"/>
    </row>
    <row r="411" spans="1:1" ht="15.75" customHeight="1" x14ac:dyDescent="0.25">
      <c r="A411" s="9"/>
    </row>
    <row r="412" spans="1:1" ht="15.75" customHeight="1" x14ac:dyDescent="0.25">
      <c r="A412" s="9"/>
    </row>
    <row r="413" spans="1:1" ht="15.75" customHeight="1" x14ac:dyDescent="0.25">
      <c r="A413" s="9"/>
    </row>
    <row r="414" spans="1:1" ht="15.75" customHeight="1" x14ac:dyDescent="0.25">
      <c r="A414" s="9"/>
    </row>
    <row r="415" spans="1:1" ht="15.75" customHeight="1" x14ac:dyDescent="0.25">
      <c r="A415" s="9"/>
    </row>
    <row r="416" spans="1:1" ht="15.75" customHeight="1" x14ac:dyDescent="0.25">
      <c r="A416" s="9"/>
    </row>
    <row r="417" spans="1:1" ht="15.75" customHeight="1" x14ac:dyDescent="0.25">
      <c r="A417" s="9"/>
    </row>
    <row r="418" spans="1:1" ht="15.75" customHeight="1" x14ac:dyDescent="0.25">
      <c r="A418" s="9"/>
    </row>
    <row r="419" spans="1:1" ht="15.75" customHeight="1" x14ac:dyDescent="0.25">
      <c r="A419" s="9"/>
    </row>
    <row r="420" spans="1:1" ht="15.75" customHeight="1" x14ac:dyDescent="0.25">
      <c r="A420" s="9"/>
    </row>
    <row r="421" spans="1:1" ht="15.75" customHeight="1" x14ac:dyDescent="0.25">
      <c r="A421" s="9"/>
    </row>
    <row r="422" spans="1:1" ht="15.75" customHeight="1" x14ac:dyDescent="0.25">
      <c r="A422" s="9"/>
    </row>
    <row r="423" spans="1:1" ht="15.75" customHeight="1" x14ac:dyDescent="0.25">
      <c r="A423" s="9"/>
    </row>
    <row r="424" spans="1:1" ht="15.75" customHeight="1" x14ac:dyDescent="0.25">
      <c r="A424" s="9"/>
    </row>
    <row r="425" spans="1:1" ht="15.75" customHeight="1" x14ac:dyDescent="0.25">
      <c r="A425" s="9"/>
    </row>
    <row r="426" spans="1:1" ht="15.75" customHeight="1" x14ac:dyDescent="0.25">
      <c r="A426" s="9"/>
    </row>
    <row r="427" spans="1:1" ht="15.75" customHeight="1" x14ac:dyDescent="0.25">
      <c r="A427" s="9"/>
    </row>
    <row r="428" spans="1:1" ht="15.75" customHeight="1" x14ac:dyDescent="0.25">
      <c r="A428" s="9"/>
    </row>
    <row r="429" spans="1:1" ht="15.75" customHeight="1" x14ac:dyDescent="0.25">
      <c r="A429" s="9"/>
    </row>
    <row r="430" spans="1:1" ht="15.75" customHeight="1" x14ac:dyDescent="0.25">
      <c r="A430" s="9"/>
    </row>
    <row r="431" spans="1:1" ht="15.75" customHeight="1" x14ac:dyDescent="0.25">
      <c r="A431" s="9"/>
    </row>
    <row r="432" spans="1:1" ht="15.75" customHeight="1" x14ac:dyDescent="0.25">
      <c r="A432" s="9"/>
    </row>
    <row r="433" spans="1:1" ht="15.75" customHeight="1" x14ac:dyDescent="0.25">
      <c r="A433" s="9"/>
    </row>
    <row r="434" spans="1:1" ht="15.75" customHeight="1" x14ac:dyDescent="0.25">
      <c r="A434" s="9"/>
    </row>
    <row r="435" spans="1:1" ht="15.75" customHeight="1" x14ac:dyDescent="0.25">
      <c r="A435" s="9"/>
    </row>
    <row r="436" spans="1:1" ht="15.75" customHeight="1" x14ac:dyDescent="0.25">
      <c r="A436" s="9"/>
    </row>
    <row r="437" spans="1:1" ht="15.75" customHeight="1" x14ac:dyDescent="0.25">
      <c r="A437" s="9"/>
    </row>
    <row r="438" spans="1:1" ht="15.75" customHeight="1" x14ac:dyDescent="0.25">
      <c r="A438" s="9"/>
    </row>
    <row r="439" spans="1:1" ht="15.75" customHeight="1" x14ac:dyDescent="0.25">
      <c r="A439" s="9"/>
    </row>
    <row r="440" spans="1:1" ht="15.75" customHeight="1" x14ac:dyDescent="0.25">
      <c r="A440" s="9"/>
    </row>
    <row r="441" spans="1:1" ht="15.75" customHeight="1" x14ac:dyDescent="0.25">
      <c r="A441" s="9"/>
    </row>
    <row r="442" spans="1:1" ht="15.75" customHeight="1" x14ac:dyDescent="0.25">
      <c r="A442" s="9"/>
    </row>
    <row r="443" spans="1:1" ht="15.75" customHeight="1" x14ac:dyDescent="0.25">
      <c r="A443" s="9"/>
    </row>
    <row r="444" spans="1:1" ht="15.75" customHeight="1" x14ac:dyDescent="0.25">
      <c r="A444" s="9"/>
    </row>
    <row r="445" spans="1:1" ht="15.75" customHeight="1" x14ac:dyDescent="0.25">
      <c r="A445" s="9"/>
    </row>
    <row r="446" spans="1:1" ht="15.75" customHeight="1" x14ac:dyDescent="0.25">
      <c r="A446" s="9"/>
    </row>
    <row r="447" spans="1:1" ht="15.75" customHeight="1" x14ac:dyDescent="0.25">
      <c r="A447" s="9"/>
    </row>
    <row r="448" spans="1:1" ht="15.75" customHeight="1" x14ac:dyDescent="0.25">
      <c r="A448" s="9"/>
    </row>
    <row r="449" spans="1:1" ht="15.75" customHeight="1" x14ac:dyDescent="0.25">
      <c r="A449" s="9"/>
    </row>
    <row r="450" spans="1:1" ht="15.75" customHeight="1" x14ac:dyDescent="0.25">
      <c r="A450" s="9"/>
    </row>
    <row r="451" spans="1:1" ht="15.75" customHeight="1" x14ac:dyDescent="0.25">
      <c r="A451" s="9"/>
    </row>
    <row r="452" spans="1:1" ht="15.75" customHeight="1" x14ac:dyDescent="0.25">
      <c r="A452" s="9"/>
    </row>
    <row r="453" spans="1:1" ht="15.75" customHeight="1" x14ac:dyDescent="0.25">
      <c r="A453" s="9"/>
    </row>
    <row r="454" spans="1:1" ht="15.75" customHeight="1" x14ac:dyDescent="0.25">
      <c r="A454" s="9"/>
    </row>
    <row r="455" spans="1:1" ht="15.75" customHeight="1" x14ac:dyDescent="0.25">
      <c r="A455" s="9"/>
    </row>
    <row r="456" spans="1:1" ht="15.75" customHeight="1" x14ac:dyDescent="0.25">
      <c r="A456" s="9"/>
    </row>
    <row r="457" spans="1:1" ht="15.75" customHeight="1" x14ac:dyDescent="0.25">
      <c r="A457" s="9"/>
    </row>
    <row r="458" spans="1:1" ht="15.75" customHeight="1" x14ac:dyDescent="0.25">
      <c r="A458" s="9"/>
    </row>
    <row r="459" spans="1:1" ht="15.75" customHeight="1" x14ac:dyDescent="0.25">
      <c r="A459" s="9"/>
    </row>
    <row r="460" spans="1:1" ht="15.75" customHeight="1" x14ac:dyDescent="0.25">
      <c r="A460" s="9"/>
    </row>
    <row r="461" spans="1:1" ht="15.75" customHeight="1" x14ac:dyDescent="0.25">
      <c r="A461" s="9"/>
    </row>
    <row r="462" spans="1:1" ht="15.75" customHeight="1" x14ac:dyDescent="0.25">
      <c r="A462" s="9"/>
    </row>
    <row r="463" spans="1:1" ht="15.75" customHeight="1" x14ac:dyDescent="0.25">
      <c r="A463" s="9"/>
    </row>
    <row r="464" spans="1:1" ht="15.75" customHeight="1" x14ac:dyDescent="0.25">
      <c r="A464" s="9"/>
    </row>
    <row r="465" spans="1:1" ht="15.75" customHeight="1" x14ac:dyDescent="0.25">
      <c r="A465" s="9"/>
    </row>
    <row r="466" spans="1:1" ht="15.75" customHeight="1" x14ac:dyDescent="0.25">
      <c r="A466" s="9"/>
    </row>
    <row r="467" spans="1:1" ht="15.75" customHeight="1" x14ac:dyDescent="0.25">
      <c r="A467" s="9"/>
    </row>
    <row r="468" spans="1:1" ht="15.75" customHeight="1" x14ac:dyDescent="0.25">
      <c r="A468" s="9"/>
    </row>
    <row r="469" spans="1:1" ht="15.75" customHeight="1" x14ac:dyDescent="0.25">
      <c r="A469" s="9"/>
    </row>
    <row r="470" spans="1:1" ht="15.75" customHeight="1" x14ac:dyDescent="0.25">
      <c r="A470" s="9"/>
    </row>
    <row r="471" spans="1:1" ht="15.75" customHeight="1" x14ac:dyDescent="0.25">
      <c r="A471" s="9"/>
    </row>
    <row r="472" spans="1:1" ht="15.75" customHeight="1" x14ac:dyDescent="0.25">
      <c r="A472" s="9"/>
    </row>
    <row r="473" spans="1:1" ht="15.75" customHeight="1" x14ac:dyDescent="0.25">
      <c r="A473" s="9"/>
    </row>
    <row r="474" spans="1:1" ht="15.75" customHeight="1" x14ac:dyDescent="0.25">
      <c r="A474" s="9"/>
    </row>
    <row r="475" spans="1:1" ht="15.75" customHeight="1" x14ac:dyDescent="0.25">
      <c r="A475" s="9"/>
    </row>
    <row r="476" spans="1:1" ht="15.75" customHeight="1" x14ac:dyDescent="0.25">
      <c r="A476" s="9"/>
    </row>
    <row r="477" spans="1:1" ht="15.75" customHeight="1" x14ac:dyDescent="0.25">
      <c r="A477" s="9"/>
    </row>
    <row r="478" spans="1:1" ht="15.75" customHeight="1" x14ac:dyDescent="0.25">
      <c r="A478" s="9"/>
    </row>
    <row r="479" spans="1:1" ht="15.75" customHeight="1" x14ac:dyDescent="0.25">
      <c r="A479" s="9"/>
    </row>
    <row r="480" spans="1:1" ht="15.75" customHeight="1" x14ac:dyDescent="0.25">
      <c r="A480" s="9"/>
    </row>
    <row r="481" spans="1:1" ht="15.75" customHeight="1" x14ac:dyDescent="0.25">
      <c r="A481" s="9"/>
    </row>
    <row r="482" spans="1:1" ht="15.75" customHeight="1" x14ac:dyDescent="0.25">
      <c r="A482" s="9"/>
    </row>
    <row r="483" spans="1:1" ht="15.75" customHeight="1" x14ac:dyDescent="0.25">
      <c r="A483" s="9"/>
    </row>
    <row r="484" spans="1:1" ht="15.75" customHeight="1" x14ac:dyDescent="0.25">
      <c r="A484" s="9"/>
    </row>
    <row r="485" spans="1:1" ht="15.75" customHeight="1" x14ac:dyDescent="0.25">
      <c r="A485" s="9"/>
    </row>
    <row r="486" spans="1:1" ht="15.75" customHeight="1" x14ac:dyDescent="0.25">
      <c r="A486" s="9"/>
    </row>
    <row r="487" spans="1:1" ht="15.75" customHeight="1" x14ac:dyDescent="0.25">
      <c r="A487" s="9"/>
    </row>
    <row r="488" spans="1:1" ht="15.75" customHeight="1" x14ac:dyDescent="0.25">
      <c r="A488" s="9"/>
    </row>
    <row r="489" spans="1:1" ht="15.75" customHeight="1" x14ac:dyDescent="0.25">
      <c r="A489" s="9"/>
    </row>
    <row r="490" spans="1:1" ht="15.75" customHeight="1" x14ac:dyDescent="0.25">
      <c r="A490" s="9"/>
    </row>
    <row r="491" spans="1:1" ht="15.75" customHeight="1" x14ac:dyDescent="0.25">
      <c r="A491" s="9"/>
    </row>
    <row r="492" spans="1:1" ht="15.75" customHeight="1" x14ac:dyDescent="0.25">
      <c r="A492" s="9"/>
    </row>
    <row r="493" spans="1:1" ht="15.75" customHeight="1" x14ac:dyDescent="0.25">
      <c r="A493" s="9"/>
    </row>
    <row r="494" spans="1:1" ht="15.75" customHeight="1" x14ac:dyDescent="0.25">
      <c r="A494" s="9"/>
    </row>
    <row r="495" spans="1:1" ht="15.75" customHeight="1" x14ac:dyDescent="0.25">
      <c r="A495" s="9"/>
    </row>
    <row r="496" spans="1:1" ht="15.75" customHeight="1" x14ac:dyDescent="0.25">
      <c r="A496" s="9"/>
    </row>
    <row r="497" spans="1:1" ht="15.75" customHeight="1" x14ac:dyDescent="0.25">
      <c r="A497" s="9"/>
    </row>
    <row r="498" spans="1:1" ht="15.75" customHeight="1" x14ac:dyDescent="0.25">
      <c r="A498" s="9"/>
    </row>
    <row r="499" spans="1:1" ht="15.75" customHeight="1" x14ac:dyDescent="0.25">
      <c r="A499" s="9"/>
    </row>
    <row r="500" spans="1:1" ht="15.75" customHeight="1" x14ac:dyDescent="0.25">
      <c r="A500" s="9"/>
    </row>
    <row r="501" spans="1:1" ht="15.75" customHeight="1" x14ac:dyDescent="0.25">
      <c r="A501" s="9"/>
    </row>
    <row r="502" spans="1:1" ht="15.75" customHeight="1" x14ac:dyDescent="0.25">
      <c r="A502" s="9"/>
    </row>
    <row r="503" spans="1:1" ht="15.75" customHeight="1" x14ac:dyDescent="0.25">
      <c r="A503" s="9"/>
    </row>
    <row r="504" spans="1:1" ht="15.75" customHeight="1" x14ac:dyDescent="0.25">
      <c r="A504" s="9"/>
    </row>
    <row r="505" spans="1:1" ht="15.75" customHeight="1" x14ac:dyDescent="0.25">
      <c r="A505" s="9"/>
    </row>
    <row r="506" spans="1:1" ht="15.75" customHeight="1" x14ac:dyDescent="0.25">
      <c r="A506" s="9"/>
    </row>
    <row r="507" spans="1:1" ht="15.75" customHeight="1" x14ac:dyDescent="0.25">
      <c r="A507" s="9"/>
    </row>
    <row r="508" spans="1:1" ht="15.75" customHeight="1" x14ac:dyDescent="0.25">
      <c r="A508" s="9"/>
    </row>
    <row r="509" spans="1:1" ht="15.75" customHeight="1" x14ac:dyDescent="0.25">
      <c r="A509" s="9"/>
    </row>
    <row r="510" spans="1:1" ht="15.75" customHeight="1" x14ac:dyDescent="0.25">
      <c r="A510" s="9"/>
    </row>
    <row r="511" spans="1:1" ht="15.75" customHeight="1" x14ac:dyDescent="0.25">
      <c r="A511" s="9"/>
    </row>
    <row r="512" spans="1:1" ht="15.75" customHeight="1" x14ac:dyDescent="0.25">
      <c r="A512" s="9"/>
    </row>
    <row r="513" spans="1:1" ht="15.75" customHeight="1" x14ac:dyDescent="0.25">
      <c r="A513" s="9"/>
    </row>
    <row r="514" spans="1:1" ht="15.75" customHeight="1" x14ac:dyDescent="0.25">
      <c r="A514" s="9"/>
    </row>
    <row r="515" spans="1:1" ht="15.75" customHeight="1" x14ac:dyDescent="0.25">
      <c r="A515" s="9"/>
    </row>
    <row r="516" spans="1:1" ht="15.75" customHeight="1" x14ac:dyDescent="0.25">
      <c r="A516" s="9"/>
    </row>
    <row r="517" spans="1:1" ht="15.75" customHeight="1" x14ac:dyDescent="0.25">
      <c r="A517" s="9"/>
    </row>
    <row r="518" spans="1:1" ht="15.75" customHeight="1" x14ac:dyDescent="0.25">
      <c r="A518" s="9"/>
    </row>
    <row r="519" spans="1:1" ht="15.75" customHeight="1" x14ac:dyDescent="0.25">
      <c r="A519" s="9"/>
    </row>
    <row r="520" spans="1:1" ht="15.75" customHeight="1" x14ac:dyDescent="0.25">
      <c r="A520" s="9"/>
    </row>
    <row r="521" spans="1:1" ht="15.75" customHeight="1" x14ac:dyDescent="0.25">
      <c r="A521" s="9"/>
    </row>
    <row r="522" spans="1:1" ht="15.75" customHeight="1" x14ac:dyDescent="0.25">
      <c r="A522" s="9"/>
    </row>
    <row r="523" spans="1:1" ht="15.75" customHeight="1" x14ac:dyDescent="0.25">
      <c r="A523" s="9"/>
    </row>
    <row r="524" spans="1:1" ht="15.75" customHeight="1" x14ac:dyDescent="0.25">
      <c r="A524" s="9"/>
    </row>
    <row r="525" spans="1:1" ht="15.75" customHeight="1" x14ac:dyDescent="0.25">
      <c r="A525" s="9"/>
    </row>
    <row r="526" spans="1:1" ht="15.75" customHeight="1" x14ac:dyDescent="0.25">
      <c r="A526" s="9"/>
    </row>
    <row r="527" spans="1:1" ht="15.75" customHeight="1" x14ac:dyDescent="0.25">
      <c r="A527" s="9"/>
    </row>
    <row r="528" spans="1:1" ht="15.75" customHeight="1" x14ac:dyDescent="0.25">
      <c r="A528" s="9"/>
    </row>
    <row r="529" spans="1:1" ht="15.75" customHeight="1" x14ac:dyDescent="0.25">
      <c r="A529" s="9"/>
    </row>
    <row r="530" spans="1:1" ht="15.75" customHeight="1" x14ac:dyDescent="0.25">
      <c r="A530" s="9"/>
    </row>
    <row r="531" spans="1:1" ht="15.75" customHeight="1" x14ac:dyDescent="0.25">
      <c r="A531" s="9"/>
    </row>
    <row r="532" spans="1:1" ht="15.75" customHeight="1" x14ac:dyDescent="0.25">
      <c r="A532" s="9"/>
    </row>
    <row r="533" spans="1:1" ht="15.75" customHeight="1" x14ac:dyDescent="0.25">
      <c r="A533" s="9"/>
    </row>
    <row r="534" spans="1:1" ht="15.75" customHeight="1" x14ac:dyDescent="0.25">
      <c r="A534" s="9"/>
    </row>
    <row r="535" spans="1:1" ht="15.75" customHeight="1" x14ac:dyDescent="0.25">
      <c r="A535" s="9"/>
    </row>
    <row r="536" spans="1:1" ht="15.75" customHeight="1" x14ac:dyDescent="0.25">
      <c r="A536" s="9"/>
    </row>
    <row r="537" spans="1:1" ht="15.75" customHeight="1" x14ac:dyDescent="0.25">
      <c r="A537" s="9"/>
    </row>
    <row r="538" spans="1:1" ht="15.75" customHeight="1" x14ac:dyDescent="0.25">
      <c r="A538" s="9"/>
    </row>
    <row r="539" spans="1:1" ht="15.75" customHeight="1" x14ac:dyDescent="0.25">
      <c r="A539" s="9"/>
    </row>
    <row r="540" spans="1:1" ht="15.75" customHeight="1" x14ac:dyDescent="0.25">
      <c r="A540" s="9"/>
    </row>
    <row r="541" spans="1:1" ht="15.75" customHeight="1" x14ac:dyDescent="0.25">
      <c r="A541" s="9"/>
    </row>
    <row r="542" spans="1:1" ht="15.75" customHeight="1" x14ac:dyDescent="0.25">
      <c r="A542" s="9"/>
    </row>
    <row r="543" spans="1:1" ht="15.75" customHeight="1" x14ac:dyDescent="0.25">
      <c r="A543" s="9"/>
    </row>
    <row r="544" spans="1:1" ht="15.75" customHeight="1" x14ac:dyDescent="0.25">
      <c r="A544" s="9"/>
    </row>
    <row r="545" spans="1:1" ht="15.75" customHeight="1" x14ac:dyDescent="0.25">
      <c r="A545" s="9"/>
    </row>
    <row r="546" spans="1:1" ht="15.75" customHeight="1" x14ac:dyDescent="0.25">
      <c r="A546" s="9"/>
    </row>
    <row r="547" spans="1:1" ht="15.75" customHeight="1" x14ac:dyDescent="0.25">
      <c r="A547" s="9"/>
    </row>
    <row r="548" spans="1:1" ht="15.75" customHeight="1" x14ac:dyDescent="0.25">
      <c r="A548" s="9"/>
    </row>
    <row r="549" spans="1:1" ht="15.75" customHeight="1" x14ac:dyDescent="0.25">
      <c r="A549" s="9"/>
    </row>
    <row r="550" spans="1:1" ht="15.75" customHeight="1" x14ac:dyDescent="0.25">
      <c r="A550" s="9"/>
    </row>
    <row r="551" spans="1:1" ht="15.75" customHeight="1" x14ac:dyDescent="0.25">
      <c r="A551" s="9"/>
    </row>
    <row r="552" spans="1:1" ht="15.75" customHeight="1" x14ac:dyDescent="0.25">
      <c r="A552" s="9"/>
    </row>
    <row r="553" spans="1:1" ht="15.75" customHeight="1" x14ac:dyDescent="0.25">
      <c r="A553" s="9"/>
    </row>
    <row r="554" spans="1:1" ht="15.75" customHeight="1" x14ac:dyDescent="0.25">
      <c r="A554" s="9"/>
    </row>
    <row r="555" spans="1:1" ht="15.75" customHeight="1" x14ac:dyDescent="0.25">
      <c r="A555" s="9"/>
    </row>
    <row r="556" spans="1:1" ht="15.75" customHeight="1" x14ac:dyDescent="0.25">
      <c r="A556" s="9"/>
    </row>
    <row r="557" spans="1:1" ht="15.75" customHeight="1" x14ac:dyDescent="0.25">
      <c r="A557" s="9"/>
    </row>
    <row r="558" spans="1:1" ht="15.75" customHeight="1" x14ac:dyDescent="0.25">
      <c r="A558" s="9"/>
    </row>
    <row r="559" spans="1:1" ht="15.75" customHeight="1" x14ac:dyDescent="0.25">
      <c r="A559" s="9"/>
    </row>
    <row r="560" spans="1:1" ht="15.75" customHeight="1" x14ac:dyDescent="0.25">
      <c r="A560" s="9"/>
    </row>
    <row r="561" spans="1:1" ht="15.75" customHeight="1" x14ac:dyDescent="0.25">
      <c r="A561" s="9"/>
    </row>
    <row r="562" spans="1:1" ht="15.75" customHeight="1" x14ac:dyDescent="0.25">
      <c r="A562" s="9"/>
    </row>
    <row r="563" spans="1:1" ht="15.75" customHeight="1" x14ac:dyDescent="0.25">
      <c r="A563" s="9"/>
    </row>
    <row r="564" spans="1:1" ht="15.75" customHeight="1" x14ac:dyDescent="0.25">
      <c r="A564" s="9"/>
    </row>
    <row r="565" spans="1:1" ht="15.75" customHeight="1" x14ac:dyDescent="0.25">
      <c r="A565" s="9"/>
    </row>
    <row r="566" spans="1:1" ht="15.75" customHeight="1" x14ac:dyDescent="0.25">
      <c r="A566" s="9"/>
    </row>
    <row r="567" spans="1:1" ht="15.75" customHeight="1" x14ac:dyDescent="0.25">
      <c r="A567" s="9"/>
    </row>
    <row r="568" spans="1:1" ht="15.75" customHeight="1" x14ac:dyDescent="0.25">
      <c r="A568" s="9"/>
    </row>
    <row r="569" spans="1:1" ht="15.75" customHeight="1" x14ac:dyDescent="0.25">
      <c r="A569" s="9"/>
    </row>
    <row r="570" spans="1:1" ht="15.75" customHeight="1" x14ac:dyDescent="0.25">
      <c r="A570" s="9"/>
    </row>
    <row r="571" spans="1:1" ht="15.75" customHeight="1" x14ac:dyDescent="0.25">
      <c r="A571" s="9"/>
    </row>
    <row r="572" spans="1:1" ht="15.75" customHeight="1" x14ac:dyDescent="0.25">
      <c r="A572" s="9"/>
    </row>
    <row r="573" spans="1:1" ht="15.75" customHeight="1" x14ac:dyDescent="0.25">
      <c r="A573" s="9"/>
    </row>
    <row r="574" spans="1:1" ht="15.75" customHeight="1" x14ac:dyDescent="0.25">
      <c r="A574" s="9"/>
    </row>
    <row r="575" spans="1:1" ht="15.75" customHeight="1" x14ac:dyDescent="0.25">
      <c r="A575" s="9"/>
    </row>
    <row r="576" spans="1:1" ht="15.75" customHeight="1" x14ac:dyDescent="0.25">
      <c r="A576" s="9"/>
    </row>
    <row r="577" spans="1:1" ht="15.75" customHeight="1" x14ac:dyDescent="0.25">
      <c r="A577" s="9"/>
    </row>
    <row r="578" spans="1:1" ht="15.75" customHeight="1" x14ac:dyDescent="0.25">
      <c r="A578" s="9"/>
    </row>
    <row r="579" spans="1:1" ht="15.75" customHeight="1" x14ac:dyDescent="0.25">
      <c r="A579" s="9"/>
    </row>
    <row r="580" spans="1:1" ht="15.75" customHeight="1" x14ac:dyDescent="0.25">
      <c r="A580" s="9"/>
    </row>
    <row r="581" spans="1:1" ht="15.75" customHeight="1" x14ac:dyDescent="0.25">
      <c r="A581" s="9"/>
    </row>
    <row r="582" spans="1:1" ht="15.75" customHeight="1" x14ac:dyDescent="0.25">
      <c r="A582" s="9"/>
    </row>
    <row r="583" spans="1:1" ht="15.75" customHeight="1" x14ac:dyDescent="0.25">
      <c r="A583" s="9"/>
    </row>
    <row r="584" spans="1:1" ht="15.75" customHeight="1" x14ac:dyDescent="0.25">
      <c r="A584" s="9"/>
    </row>
    <row r="585" spans="1:1" ht="15.75" customHeight="1" x14ac:dyDescent="0.25">
      <c r="A585" s="9"/>
    </row>
    <row r="586" spans="1:1" ht="15.75" customHeight="1" x14ac:dyDescent="0.25">
      <c r="A586" s="9"/>
    </row>
    <row r="587" spans="1:1" ht="15.75" customHeight="1" x14ac:dyDescent="0.25">
      <c r="A587" s="9"/>
    </row>
    <row r="588" spans="1:1" ht="15.75" customHeight="1" x14ac:dyDescent="0.25">
      <c r="A588" s="9"/>
    </row>
    <row r="589" spans="1:1" ht="15.75" customHeight="1" x14ac:dyDescent="0.25">
      <c r="A589" s="9"/>
    </row>
    <row r="590" spans="1:1" ht="15.75" customHeight="1" x14ac:dyDescent="0.25">
      <c r="A590" s="9"/>
    </row>
    <row r="591" spans="1:1" ht="15.75" customHeight="1" x14ac:dyDescent="0.25">
      <c r="A591" s="9"/>
    </row>
    <row r="592" spans="1:1" ht="15.75" customHeight="1" x14ac:dyDescent="0.25">
      <c r="A592" s="9"/>
    </row>
    <row r="593" spans="1:1" ht="15.75" customHeight="1" x14ac:dyDescent="0.25">
      <c r="A593" s="9"/>
    </row>
    <row r="594" spans="1:1" ht="15.75" customHeight="1" x14ac:dyDescent="0.25">
      <c r="A594" s="9"/>
    </row>
    <row r="595" spans="1:1" ht="15.75" customHeight="1" x14ac:dyDescent="0.25">
      <c r="A595" s="9"/>
    </row>
    <row r="596" spans="1:1" ht="15.75" customHeight="1" x14ac:dyDescent="0.25">
      <c r="A596" s="9"/>
    </row>
    <row r="597" spans="1:1" ht="15.75" customHeight="1" x14ac:dyDescent="0.25">
      <c r="A597" s="9"/>
    </row>
    <row r="598" spans="1:1" ht="15.75" customHeight="1" x14ac:dyDescent="0.25">
      <c r="A598" s="9"/>
    </row>
    <row r="599" spans="1:1" ht="15.75" customHeight="1" x14ac:dyDescent="0.25">
      <c r="A599" s="9"/>
    </row>
    <row r="600" spans="1:1" ht="15.75" customHeight="1" x14ac:dyDescent="0.25">
      <c r="A600" s="9"/>
    </row>
    <row r="601" spans="1:1" ht="15.75" customHeight="1" x14ac:dyDescent="0.25">
      <c r="A601" s="9"/>
    </row>
    <row r="602" spans="1:1" ht="15.75" customHeight="1" x14ac:dyDescent="0.25">
      <c r="A602" s="9"/>
    </row>
    <row r="603" spans="1:1" ht="15.75" customHeight="1" x14ac:dyDescent="0.25">
      <c r="A603" s="9"/>
    </row>
    <row r="604" spans="1:1" ht="15.75" customHeight="1" x14ac:dyDescent="0.25">
      <c r="A604" s="9"/>
    </row>
    <row r="605" spans="1:1" ht="15.75" customHeight="1" x14ac:dyDescent="0.25">
      <c r="A605" s="9"/>
    </row>
    <row r="606" spans="1:1" ht="15.75" customHeight="1" x14ac:dyDescent="0.25">
      <c r="A606" s="9"/>
    </row>
    <row r="607" spans="1:1" ht="15.75" customHeight="1" x14ac:dyDescent="0.25">
      <c r="A607" s="9"/>
    </row>
    <row r="608" spans="1:1" ht="15.75" customHeight="1" x14ac:dyDescent="0.25">
      <c r="A608" s="9"/>
    </row>
    <row r="609" spans="1:1" ht="15.75" customHeight="1" x14ac:dyDescent="0.25">
      <c r="A609" s="9"/>
    </row>
    <row r="610" spans="1:1" ht="15.75" customHeight="1" x14ac:dyDescent="0.25">
      <c r="A610" s="9"/>
    </row>
    <row r="611" spans="1:1" ht="15.75" customHeight="1" x14ac:dyDescent="0.25">
      <c r="A611" s="9"/>
    </row>
    <row r="612" spans="1:1" ht="15.75" customHeight="1" x14ac:dyDescent="0.25">
      <c r="A612" s="9"/>
    </row>
    <row r="613" spans="1:1" ht="15.75" customHeight="1" x14ac:dyDescent="0.25">
      <c r="A613" s="9"/>
    </row>
    <row r="614" spans="1:1" ht="15.75" customHeight="1" x14ac:dyDescent="0.25">
      <c r="A614" s="9"/>
    </row>
    <row r="615" spans="1:1" ht="15.75" customHeight="1" x14ac:dyDescent="0.25">
      <c r="A615" s="9"/>
    </row>
    <row r="616" spans="1:1" ht="15.75" customHeight="1" x14ac:dyDescent="0.25">
      <c r="A616" s="9"/>
    </row>
    <row r="617" spans="1:1" ht="15.75" customHeight="1" x14ac:dyDescent="0.25">
      <c r="A617" s="9"/>
    </row>
    <row r="618" spans="1:1" ht="15.75" customHeight="1" x14ac:dyDescent="0.25">
      <c r="A618" s="9"/>
    </row>
    <row r="619" spans="1:1" ht="15.75" customHeight="1" x14ac:dyDescent="0.25">
      <c r="A619" s="9"/>
    </row>
    <row r="620" spans="1:1" ht="15.75" customHeight="1" x14ac:dyDescent="0.25">
      <c r="A620" s="9"/>
    </row>
    <row r="621" spans="1:1" ht="15.75" customHeight="1" x14ac:dyDescent="0.25">
      <c r="A621" s="9"/>
    </row>
    <row r="622" spans="1:1" ht="15.75" customHeight="1" x14ac:dyDescent="0.25">
      <c r="A622" s="9"/>
    </row>
    <row r="623" spans="1:1" ht="15.75" customHeight="1" x14ac:dyDescent="0.25">
      <c r="A623" s="9"/>
    </row>
    <row r="624" spans="1:1" ht="15.75" customHeight="1" x14ac:dyDescent="0.25">
      <c r="A624" s="9"/>
    </row>
    <row r="625" spans="1:1" ht="15.75" customHeight="1" x14ac:dyDescent="0.25">
      <c r="A625" s="9"/>
    </row>
    <row r="626" spans="1:1" ht="15.75" customHeight="1" x14ac:dyDescent="0.25">
      <c r="A626" s="9"/>
    </row>
    <row r="627" spans="1:1" ht="15.75" customHeight="1" x14ac:dyDescent="0.25">
      <c r="A627" s="9"/>
    </row>
    <row r="628" spans="1:1" ht="15.75" customHeight="1" x14ac:dyDescent="0.25">
      <c r="A628" s="9"/>
    </row>
    <row r="629" spans="1:1" ht="15.75" customHeight="1" x14ac:dyDescent="0.25">
      <c r="A629" s="9"/>
    </row>
    <row r="630" spans="1:1" ht="15.75" customHeight="1" x14ac:dyDescent="0.25">
      <c r="A630" s="9"/>
    </row>
    <row r="631" spans="1:1" ht="15.75" customHeight="1" x14ac:dyDescent="0.25">
      <c r="A631" s="9"/>
    </row>
    <row r="632" spans="1:1" ht="15.75" customHeight="1" x14ac:dyDescent="0.25">
      <c r="A632" s="9"/>
    </row>
    <row r="633" spans="1:1" ht="15.75" customHeight="1" x14ac:dyDescent="0.25">
      <c r="A633" s="9"/>
    </row>
    <row r="634" spans="1:1" ht="15.75" customHeight="1" x14ac:dyDescent="0.25">
      <c r="A634" s="9"/>
    </row>
    <row r="635" spans="1:1" ht="15.75" customHeight="1" x14ac:dyDescent="0.25">
      <c r="A635" s="9"/>
    </row>
    <row r="636" spans="1:1" ht="15.75" customHeight="1" x14ac:dyDescent="0.25">
      <c r="A636" s="9"/>
    </row>
    <row r="637" spans="1:1" ht="15.75" customHeight="1" x14ac:dyDescent="0.25">
      <c r="A637" s="9"/>
    </row>
    <row r="638" spans="1:1" ht="15.75" customHeight="1" x14ac:dyDescent="0.25">
      <c r="A638" s="9"/>
    </row>
    <row r="639" spans="1:1" ht="15.75" customHeight="1" x14ac:dyDescent="0.25">
      <c r="A639" s="9"/>
    </row>
    <row r="640" spans="1:1" ht="15.75" customHeight="1" x14ac:dyDescent="0.25">
      <c r="A640" s="9"/>
    </row>
    <row r="641" spans="1:1" ht="15.75" customHeight="1" x14ac:dyDescent="0.25">
      <c r="A641" s="9"/>
    </row>
    <row r="642" spans="1:1" ht="15.75" customHeight="1" x14ac:dyDescent="0.25">
      <c r="A642" s="9"/>
    </row>
    <row r="643" spans="1:1" ht="15.75" customHeight="1" x14ac:dyDescent="0.25">
      <c r="A643" s="9"/>
    </row>
    <row r="644" spans="1:1" ht="15.75" customHeight="1" x14ac:dyDescent="0.25">
      <c r="A644" s="9"/>
    </row>
    <row r="645" spans="1:1" ht="15.75" customHeight="1" x14ac:dyDescent="0.25">
      <c r="A645" s="9"/>
    </row>
    <row r="646" spans="1:1" ht="15.75" customHeight="1" x14ac:dyDescent="0.25">
      <c r="A646" s="9"/>
    </row>
    <row r="647" spans="1:1" ht="15.75" customHeight="1" x14ac:dyDescent="0.25">
      <c r="A647" s="9"/>
    </row>
    <row r="648" spans="1:1" ht="15.75" customHeight="1" x14ac:dyDescent="0.25">
      <c r="A648" s="9"/>
    </row>
    <row r="649" spans="1:1" ht="15.75" customHeight="1" x14ac:dyDescent="0.25">
      <c r="A649" s="9"/>
    </row>
    <row r="650" spans="1:1" ht="15.75" customHeight="1" x14ac:dyDescent="0.25">
      <c r="A650" s="9"/>
    </row>
    <row r="651" spans="1:1" ht="15.75" customHeight="1" x14ac:dyDescent="0.25">
      <c r="A651" s="9"/>
    </row>
    <row r="652" spans="1:1" ht="15.75" customHeight="1" x14ac:dyDescent="0.25">
      <c r="A652" s="9"/>
    </row>
    <row r="653" spans="1:1" ht="15.75" customHeight="1" x14ac:dyDescent="0.25">
      <c r="A653" s="9"/>
    </row>
    <row r="654" spans="1:1" ht="15.75" customHeight="1" x14ac:dyDescent="0.25">
      <c r="A654" s="9"/>
    </row>
    <row r="655" spans="1:1" ht="15.75" customHeight="1" x14ac:dyDescent="0.25">
      <c r="A655" s="9"/>
    </row>
    <row r="656" spans="1:1" ht="15.75" customHeight="1" x14ac:dyDescent="0.25">
      <c r="A656" s="9"/>
    </row>
    <row r="657" spans="1:1" ht="15.75" customHeight="1" x14ac:dyDescent="0.25">
      <c r="A657" s="9"/>
    </row>
    <row r="658" spans="1:1" ht="15.75" customHeight="1" x14ac:dyDescent="0.25">
      <c r="A658" s="9"/>
    </row>
    <row r="659" spans="1:1" ht="15.75" customHeight="1" x14ac:dyDescent="0.25">
      <c r="A659" s="9"/>
    </row>
    <row r="660" spans="1:1" ht="15.75" customHeight="1" x14ac:dyDescent="0.25">
      <c r="A660" s="9"/>
    </row>
    <row r="661" spans="1:1" ht="15.75" customHeight="1" x14ac:dyDescent="0.25">
      <c r="A661" s="9"/>
    </row>
    <row r="662" spans="1:1" ht="15.75" customHeight="1" x14ac:dyDescent="0.25">
      <c r="A662" s="9"/>
    </row>
    <row r="663" spans="1:1" ht="15.75" customHeight="1" x14ac:dyDescent="0.25">
      <c r="A663" s="9"/>
    </row>
    <row r="664" spans="1:1" ht="15.75" customHeight="1" x14ac:dyDescent="0.25">
      <c r="A664" s="9"/>
    </row>
    <row r="665" spans="1:1" ht="15.75" customHeight="1" x14ac:dyDescent="0.25">
      <c r="A665" s="9"/>
    </row>
    <row r="666" spans="1:1" ht="15.75" customHeight="1" x14ac:dyDescent="0.25">
      <c r="A666" s="9"/>
    </row>
    <row r="667" spans="1:1" ht="15.75" customHeight="1" x14ac:dyDescent="0.25">
      <c r="A667" s="9"/>
    </row>
    <row r="668" spans="1:1" ht="15.75" customHeight="1" x14ac:dyDescent="0.25">
      <c r="A668" s="9"/>
    </row>
    <row r="669" spans="1:1" ht="15.75" customHeight="1" x14ac:dyDescent="0.25">
      <c r="A669" s="9"/>
    </row>
    <row r="670" spans="1:1" ht="15.75" customHeight="1" x14ac:dyDescent="0.25">
      <c r="A670" s="9"/>
    </row>
    <row r="671" spans="1:1" ht="15.75" customHeight="1" x14ac:dyDescent="0.25">
      <c r="A671" s="9"/>
    </row>
    <row r="672" spans="1:1" ht="15.75" customHeight="1" x14ac:dyDescent="0.25">
      <c r="A672" s="9"/>
    </row>
    <row r="673" spans="1:1" ht="15.75" customHeight="1" x14ac:dyDescent="0.25">
      <c r="A673" s="9"/>
    </row>
    <row r="674" spans="1:1" ht="15.75" customHeight="1" x14ac:dyDescent="0.25">
      <c r="A674" s="9"/>
    </row>
    <row r="675" spans="1:1" ht="15.75" customHeight="1" x14ac:dyDescent="0.25">
      <c r="A675" s="9"/>
    </row>
    <row r="676" spans="1:1" ht="15.75" customHeight="1" x14ac:dyDescent="0.25">
      <c r="A676" s="9"/>
    </row>
    <row r="677" spans="1:1" ht="15.75" customHeight="1" x14ac:dyDescent="0.25">
      <c r="A677" s="9"/>
    </row>
    <row r="678" spans="1:1" ht="15.75" customHeight="1" x14ac:dyDescent="0.25">
      <c r="A678" s="9"/>
    </row>
    <row r="679" spans="1:1" ht="15.75" customHeight="1" x14ac:dyDescent="0.25">
      <c r="A679" s="9"/>
    </row>
    <row r="680" spans="1:1" ht="15.75" customHeight="1" x14ac:dyDescent="0.25">
      <c r="A680" s="9"/>
    </row>
    <row r="681" spans="1:1" ht="15.75" customHeight="1" x14ac:dyDescent="0.25">
      <c r="A681" s="9"/>
    </row>
    <row r="682" spans="1:1" ht="15.75" customHeight="1" x14ac:dyDescent="0.25">
      <c r="A682" s="9"/>
    </row>
    <row r="683" spans="1:1" ht="15.75" customHeight="1" x14ac:dyDescent="0.25">
      <c r="A683" s="9"/>
    </row>
    <row r="684" spans="1:1" ht="15.75" customHeight="1" x14ac:dyDescent="0.25">
      <c r="A684" s="9"/>
    </row>
    <row r="685" spans="1:1" ht="15.75" customHeight="1" x14ac:dyDescent="0.25">
      <c r="A685" s="9"/>
    </row>
    <row r="686" spans="1:1" ht="15.75" customHeight="1" x14ac:dyDescent="0.25">
      <c r="A686" s="9"/>
    </row>
    <row r="687" spans="1:1" ht="15.75" customHeight="1" x14ac:dyDescent="0.25">
      <c r="A687" s="9"/>
    </row>
    <row r="688" spans="1:1" ht="15.75" customHeight="1" x14ac:dyDescent="0.25">
      <c r="A688" s="9"/>
    </row>
    <row r="689" spans="1:1" ht="15.75" customHeight="1" x14ac:dyDescent="0.25">
      <c r="A689" s="9"/>
    </row>
    <row r="690" spans="1:1" ht="15.75" customHeight="1" x14ac:dyDescent="0.25">
      <c r="A690" s="9"/>
    </row>
    <row r="691" spans="1:1" ht="15.75" customHeight="1" x14ac:dyDescent="0.25">
      <c r="A691" s="9"/>
    </row>
    <row r="692" spans="1:1" ht="15.75" customHeight="1" x14ac:dyDescent="0.25">
      <c r="A692" s="9"/>
    </row>
    <row r="693" spans="1:1" ht="15.75" customHeight="1" x14ac:dyDescent="0.25">
      <c r="A693" s="9"/>
    </row>
    <row r="694" spans="1:1" ht="15.75" customHeight="1" x14ac:dyDescent="0.25">
      <c r="A694" s="9"/>
    </row>
    <row r="695" spans="1:1" ht="15.75" customHeight="1" x14ac:dyDescent="0.25">
      <c r="A695" s="9"/>
    </row>
    <row r="696" spans="1:1" ht="15.75" customHeight="1" x14ac:dyDescent="0.25">
      <c r="A696" s="9"/>
    </row>
    <row r="697" spans="1:1" ht="15.75" customHeight="1" x14ac:dyDescent="0.25">
      <c r="A697" s="9"/>
    </row>
    <row r="698" spans="1:1" ht="15.75" customHeight="1" x14ac:dyDescent="0.25">
      <c r="A698" s="9"/>
    </row>
    <row r="699" spans="1:1" ht="15.75" customHeight="1" x14ac:dyDescent="0.25">
      <c r="A699" s="9"/>
    </row>
    <row r="700" spans="1:1" ht="15.75" customHeight="1" x14ac:dyDescent="0.25">
      <c r="A700" s="9"/>
    </row>
    <row r="701" spans="1:1" ht="15.75" customHeight="1" x14ac:dyDescent="0.25">
      <c r="A701" s="9"/>
    </row>
    <row r="702" spans="1:1" ht="15.75" customHeight="1" x14ac:dyDescent="0.25">
      <c r="A702" s="9"/>
    </row>
    <row r="703" spans="1:1" ht="15.75" customHeight="1" x14ac:dyDescent="0.25">
      <c r="A703" s="9"/>
    </row>
    <row r="704" spans="1:1" ht="15.75" customHeight="1" x14ac:dyDescent="0.25">
      <c r="A704" s="9"/>
    </row>
    <row r="705" spans="1:1" ht="15.75" customHeight="1" x14ac:dyDescent="0.25">
      <c r="A705" s="9"/>
    </row>
    <row r="706" spans="1:1" ht="15.75" customHeight="1" x14ac:dyDescent="0.25">
      <c r="A706" s="9"/>
    </row>
    <row r="707" spans="1:1" ht="15.75" customHeight="1" x14ac:dyDescent="0.25">
      <c r="A707" s="9"/>
    </row>
    <row r="708" spans="1:1" ht="15.75" customHeight="1" x14ac:dyDescent="0.25">
      <c r="A708" s="9"/>
    </row>
    <row r="709" spans="1:1" ht="15.75" customHeight="1" x14ac:dyDescent="0.25">
      <c r="A709" s="9"/>
    </row>
    <row r="710" spans="1:1" ht="15.75" customHeight="1" x14ac:dyDescent="0.25">
      <c r="A710" s="9"/>
    </row>
    <row r="711" spans="1:1" ht="15.75" customHeight="1" x14ac:dyDescent="0.25">
      <c r="A711" s="9"/>
    </row>
    <row r="712" spans="1:1" ht="15.75" customHeight="1" x14ac:dyDescent="0.25">
      <c r="A712" s="9"/>
    </row>
    <row r="713" spans="1:1" ht="15.75" customHeight="1" x14ac:dyDescent="0.25">
      <c r="A713" s="9"/>
    </row>
    <row r="714" spans="1:1" ht="15.75" customHeight="1" x14ac:dyDescent="0.25">
      <c r="A714" s="9"/>
    </row>
    <row r="715" spans="1:1" ht="15.75" customHeight="1" x14ac:dyDescent="0.25">
      <c r="A715" s="9"/>
    </row>
    <row r="716" spans="1:1" ht="15.75" customHeight="1" x14ac:dyDescent="0.25">
      <c r="A716" s="9"/>
    </row>
    <row r="717" spans="1:1" ht="15.75" customHeight="1" x14ac:dyDescent="0.25">
      <c r="A717" s="9"/>
    </row>
    <row r="718" spans="1:1" ht="15.75" customHeight="1" x14ac:dyDescent="0.25">
      <c r="A718" s="9"/>
    </row>
    <row r="719" spans="1:1" ht="15.75" customHeight="1" x14ac:dyDescent="0.25">
      <c r="A719" s="9"/>
    </row>
    <row r="720" spans="1:1" ht="15.75" customHeight="1" x14ac:dyDescent="0.25">
      <c r="A720" s="9"/>
    </row>
    <row r="721" spans="1:1" ht="15.75" customHeight="1" x14ac:dyDescent="0.25">
      <c r="A721" s="9"/>
    </row>
    <row r="722" spans="1:1" ht="15.75" customHeight="1" x14ac:dyDescent="0.25">
      <c r="A722" s="9"/>
    </row>
    <row r="723" spans="1:1" ht="15.75" customHeight="1" x14ac:dyDescent="0.25">
      <c r="A723" s="9"/>
    </row>
    <row r="724" spans="1:1" ht="15.75" customHeight="1" x14ac:dyDescent="0.25">
      <c r="A724" s="9"/>
    </row>
    <row r="725" spans="1:1" ht="15.75" customHeight="1" x14ac:dyDescent="0.25">
      <c r="A725" s="9"/>
    </row>
    <row r="726" spans="1:1" ht="15.75" customHeight="1" x14ac:dyDescent="0.25">
      <c r="A726" s="9"/>
    </row>
    <row r="727" spans="1:1" ht="15.75" customHeight="1" x14ac:dyDescent="0.25">
      <c r="A727" s="9"/>
    </row>
    <row r="728" spans="1:1" ht="15.75" customHeight="1" x14ac:dyDescent="0.25">
      <c r="A728" s="9"/>
    </row>
    <row r="729" spans="1:1" ht="15.75" customHeight="1" x14ac:dyDescent="0.25">
      <c r="A729" s="9"/>
    </row>
    <row r="730" spans="1:1" ht="15.75" customHeight="1" x14ac:dyDescent="0.25">
      <c r="A730" s="9"/>
    </row>
    <row r="731" spans="1:1" ht="15.75" customHeight="1" x14ac:dyDescent="0.25">
      <c r="A731" s="9"/>
    </row>
    <row r="732" spans="1:1" ht="15.75" customHeight="1" x14ac:dyDescent="0.25">
      <c r="A732" s="9"/>
    </row>
    <row r="733" spans="1:1" ht="15.75" customHeight="1" x14ac:dyDescent="0.25">
      <c r="A733" s="9"/>
    </row>
    <row r="734" spans="1:1" ht="15.75" customHeight="1" x14ac:dyDescent="0.25">
      <c r="A734" s="9"/>
    </row>
    <row r="735" spans="1:1" ht="15.75" customHeight="1" x14ac:dyDescent="0.25">
      <c r="A735" s="9"/>
    </row>
    <row r="736" spans="1:1" ht="15.75" customHeight="1" x14ac:dyDescent="0.25">
      <c r="A736" s="9"/>
    </row>
    <row r="737" spans="1:1" ht="15.75" customHeight="1" x14ac:dyDescent="0.25">
      <c r="A737" s="9"/>
    </row>
    <row r="738" spans="1:1" ht="15.75" customHeight="1" x14ac:dyDescent="0.25">
      <c r="A738" s="9"/>
    </row>
    <row r="739" spans="1:1" ht="15.75" customHeight="1" x14ac:dyDescent="0.25">
      <c r="A739" s="9"/>
    </row>
    <row r="740" spans="1:1" ht="15.75" customHeight="1" x14ac:dyDescent="0.25">
      <c r="A740" s="9"/>
    </row>
    <row r="741" spans="1:1" ht="15.75" customHeight="1" x14ac:dyDescent="0.25">
      <c r="A741" s="9"/>
    </row>
    <row r="742" spans="1:1" ht="15.75" customHeight="1" x14ac:dyDescent="0.25">
      <c r="A742" s="9"/>
    </row>
    <row r="743" spans="1:1" ht="15.75" customHeight="1" x14ac:dyDescent="0.25">
      <c r="A743" s="9"/>
    </row>
    <row r="744" spans="1:1" ht="15.75" customHeight="1" x14ac:dyDescent="0.25">
      <c r="A744" s="9"/>
    </row>
    <row r="745" spans="1:1" ht="15.75" customHeight="1" x14ac:dyDescent="0.25">
      <c r="A745" s="9"/>
    </row>
    <row r="746" spans="1:1" ht="15.75" customHeight="1" x14ac:dyDescent="0.25">
      <c r="A746" s="9"/>
    </row>
    <row r="747" spans="1:1" ht="15.75" customHeight="1" x14ac:dyDescent="0.25">
      <c r="A747" s="9"/>
    </row>
    <row r="748" spans="1:1" ht="15.75" customHeight="1" x14ac:dyDescent="0.25">
      <c r="A748" s="9"/>
    </row>
    <row r="749" spans="1:1" ht="15.75" customHeight="1" x14ac:dyDescent="0.25">
      <c r="A749" s="9"/>
    </row>
    <row r="750" spans="1:1" ht="15.75" customHeight="1" x14ac:dyDescent="0.25">
      <c r="A750" s="9"/>
    </row>
    <row r="751" spans="1:1" ht="15.75" customHeight="1" x14ac:dyDescent="0.25">
      <c r="A751" s="9"/>
    </row>
    <row r="752" spans="1:1" ht="15.75" customHeight="1" x14ac:dyDescent="0.25">
      <c r="A752" s="9"/>
    </row>
    <row r="753" spans="1:1" ht="15.75" customHeight="1" x14ac:dyDescent="0.25">
      <c r="A753" s="9"/>
    </row>
    <row r="754" spans="1:1" ht="15.75" customHeight="1" x14ac:dyDescent="0.25">
      <c r="A754" s="9"/>
    </row>
    <row r="755" spans="1:1" ht="15.75" customHeight="1" x14ac:dyDescent="0.25">
      <c r="A755" s="9"/>
    </row>
    <row r="756" spans="1:1" ht="15.75" customHeight="1" x14ac:dyDescent="0.25">
      <c r="A756" s="9"/>
    </row>
    <row r="757" spans="1:1" ht="15.75" customHeight="1" x14ac:dyDescent="0.25">
      <c r="A757" s="9"/>
    </row>
    <row r="758" spans="1:1" ht="15.75" customHeight="1" x14ac:dyDescent="0.25">
      <c r="A758" s="9"/>
    </row>
    <row r="759" spans="1:1" ht="15.75" customHeight="1" x14ac:dyDescent="0.25">
      <c r="A759" s="9"/>
    </row>
    <row r="760" spans="1:1" ht="15.75" customHeight="1" x14ac:dyDescent="0.25">
      <c r="A760" s="9"/>
    </row>
    <row r="761" spans="1:1" ht="15.75" customHeight="1" x14ac:dyDescent="0.25">
      <c r="A761" s="9"/>
    </row>
    <row r="762" spans="1:1" ht="15.75" customHeight="1" x14ac:dyDescent="0.25">
      <c r="A762" s="9"/>
    </row>
    <row r="763" spans="1:1" ht="15.75" customHeight="1" x14ac:dyDescent="0.25">
      <c r="A763" s="9"/>
    </row>
    <row r="764" spans="1:1" ht="15.75" customHeight="1" x14ac:dyDescent="0.25">
      <c r="A764" s="9"/>
    </row>
    <row r="765" spans="1:1" ht="15.75" customHeight="1" x14ac:dyDescent="0.25">
      <c r="A765" s="9"/>
    </row>
    <row r="766" spans="1:1" ht="15.75" customHeight="1" x14ac:dyDescent="0.25">
      <c r="A766" s="9"/>
    </row>
    <row r="767" spans="1:1" ht="15.75" customHeight="1" x14ac:dyDescent="0.25">
      <c r="A767" s="9"/>
    </row>
    <row r="768" spans="1:1" ht="15.75" customHeight="1" x14ac:dyDescent="0.25">
      <c r="A768" s="9"/>
    </row>
    <row r="769" spans="1:1" ht="15.75" customHeight="1" x14ac:dyDescent="0.25">
      <c r="A769" s="9"/>
    </row>
    <row r="770" spans="1:1" ht="15.75" customHeight="1" x14ac:dyDescent="0.25">
      <c r="A770" s="9"/>
    </row>
    <row r="771" spans="1:1" ht="15.75" customHeight="1" x14ac:dyDescent="0.25">
      <c r="A771" s="9"/>
    </row>
    <row r="772" spans="1:1" ht="15.75" customHeight="1" x14ac:dyDescent="0.25">
      <c r="A772" s="9"/>
    </row>
    <row r="773" spans="1:1" ht="15.75" customHeight="1" x14ac:dyDescent="0.25">
      <c r="A773" s="9"/>
    </row>
    <row r="774" spans="1:1" ht="15.75" customHeight="1" x14ac:dyDescent="0.25">
      <c r="A774" s="9"/>
    </row>
    <row r="775" spans="1:1" ht="15.75" customHeight="1" x14ac:dyDescent="0.25">
      <c r="A775" s="9"/>
    </row>
    <row r="776" spans="1:1" ht="15.75" customHeight="1" x14ac:dyDescent="0.25">
      <c r="A776" s="9"/>
    </row>
    <row r="777" spans="1:1" ht="15.75" customHeight="1" x14ac:dyDescent="0.25">
      <c r="A777" s="9"/>
    </row>
    <row r="778" spans="1:1" ht="15.75" customHeight="1" x14ac:dyDescent="0.25">
      <c r="A778" s="9"/>
    </row>
    <row r="779" spans="1:1" ht="15.75" customHeight="1" x14ac:dyDescent="0.25">
      <c r="A779" s="9"/>
    </row>
    <row r="780" spans="1:1" ht="15.75" customHeight="1" x14ac:dyDescent="0.25">
      <c r="A780" s="9"/>
    </row>
    <row r="781" spans="1:1" ht="15.75" customHeight="1" x14ac:dyDescent="0.25">
      <c r="A781" s="9"/>
    </row>
    <row r="782" spans="1:1" ht="15.75" customHeight="1" x14ac:dyDescent="0.25">
      <c r="A782" s="9"/>
    </row>
    <row r="783" spans="1:1" ht="15.75" customHeight="1" x14ac:dyDescent="0.25">
      <c r="A783" s="9"/>
    </row>
    <row r="784" spans="1:1" ht="15.75" customHeight="1" x14ac:dyDescent="0.25">
      <c r="A784" s="9"/>
    </row>
    <row r="785" spans="1:1" ht="15.75" customHeight="1" x14ac:dyDescent="0.25">
      <c r="A785" s="9"/>
    </row>
    <row r="786" spans="1:1" ht="15.75" customHeight="1" x14ac:dyDescent="0.25">
      <c r="A786" s="9"/>
    </row>
    <row r="787" spans="1:1" ht="15.75" customHeight="1" x14ac:dyDescent="0.25">
      <c r="A787" s="9"/>
    </row>
    <row r="788" spans="1:1" ht="15.75" customHeight="1" x14ac:dyDescent="0.25">
      <c r="A788" s="9"/>
    </row>
    <row r="789" spans="1:1" ht="15.75" customHeight="1" x14ac:dyDescent="0.25">
      <c r="A789" s="9"/>
    </row>
    <row r="790" spans="1:1" ht="15.75" customHeight="1" x14ac:dyDescent="0.25">
      <c r="A790" s="9"/>
    </row>
    <row r="791" spans="1:1" ht="15.75" customHeight="1" x14ac:dyDescent="0.25">
      <c r="A791" s="9"/>
    </row>
    <row r="792" spans="1:1" ht="15.75" customHeight="1" x14ac:dyDescent="0.25">
      <c r="A792" s="9"/>
    </row>
    <row r="793" spans="1:1" ht="15.75" customHeight="1" x14ac:dyDescent="0.25">
      <c r="A793" s="9"/>
    </row>
    <row r="794" spans="1:1" ht="15.75" customHeight="1" x14ac:dyDescent="0.25">
      <c r="A794" s="9"/>
    </row>
    <row r="795" spans="1:1" ht="15.75" customHeight="1" x14ac:dyDescent="0.25">
      <c r="A795" s="9"/>
    </row>
    <row r="796" spans="1:1" ht="15.75" customHeight="1" x14ac:dyDescent="0.25">
      <c r="A796" s="9"/>
    </row>
    <row r="797" spans="1:1" ht="15.75" customHeight="1" x14ac:dyDescent="0.25">
      <c r="A797" s="9"/>
    </row>
    <row r="798" spans="1:1" ht="15.75" customHeight="1" x14ac:dyDescent="0.25">
      <c r="A798" s="9"/>
    </row>
    <row r="799" spans="1:1" ht="15.75" customHeight="1" x14ac:dyDescent="0.25">
      <c r="A799" s="9"/>
    </row>
    <row r="800" spans="1:1" ht="15.75" customHeight="1" x14ac:dyDescent="0.25">
      <c r="A800" s="9"/>
    </row>
    <row r="801" spans="1:1" ht="15.75" customHeight="1" x14ac:dyDescent="0.25">
      <c r="A801" s="9"/>
    </row>
    <row r="802" spans="1:1" ht="15.75" customHeight="1" x14ac:dyDescent="0.25">
      <c r="A802" s="9"/>
    </row>
    <row r="803" spans="1:1" ht="15.75" customHeight="1" x14ac:dyDescent="0.25">
      <c r="A803" s="9"/>
    </row>
    <row r="804" spans="1:1" ht="15.75" customHeight="1" x14ac:dyDescent="0.25">
      <c r="A804" s="9"/>
    </row>
    <row r="805" spans="1:1" ht="15.75" customHeight="1" x14ac:dyDescent="0.25">
      <c r="A805" s="9"/>
    </row>
    <row r="806" spans="1:1" ht="15.75" customHeight="1" x14ac:dyDescent="0.25">
      <c r="A806" s="9"/>
    </row>
    <row r="807" spans="1:1" ht="15.75" customHeight="1" x14ac:dyDescent="0.25">
      <c r="A807" s="9"/>
    </row>
    <row r="808" spans="1:1" ht="15.75" customHeight="1" x14ac:dyDescent="0.25">
      <c r="A808" s="9"/>
    </row>
    <row r="809" spans="1:1" ht="15.75" customHeight="1" x14ac:dyDescent="0.25">
      <c r="A809" s="9"/>
    </row>
    <row r="810" spans="1:1" ht="15.75" customHeight="1" x14ac:dyDescent="0.25">
      <c r="A810" s="9"/>
    </row>
    <row r="811" spans="1:1" ht="15.75" customHeight="1" x14ac:dyDescent="0.25">
      <c r="A811" s="9"/>
    </row>
    <row r="812" spans="1:1" ht="15.75" customHeight="1" x14ac:dyDescent="0.25">
      <c r="A812" s="9"/>
    </row>
    <row r="813" spans="1:1" ht="15.75" customHeight="1" x14ac:dyDescent="0.25">
      <c r="A813" s="9"/>
    </row>
    <row r="814" spans="1:1" ht="15.75" customHeight="1" x14ac:dyDescent="0.25">
      <c r="A814" s="9"/>
    </row>
    <row r="815" spans="1:1" ht="15.75" customHeight="1" x14ac:dyDescent="0.25">
      <c r="A815" s="9"/>
    </row>
    <row r="816" spans="1:1" ht="15.75" customHeight="1" x14ac:dyDescent="0.25">
      <c r="A816" s="9"/>
    </row>
    <row r="817" spans="1:1" ht="15.75" customHeight="1" x14ac:dyDescent="0.25">
      <c r="A817" s="9"/>
    </row>
    <row r="818" spans="1:1" ht="15.75" customHeight="1" x14ac:dyDescent="0.25">
      <c r="A818" s="9"/>
    </row>
    <row r="819" spans="1:1" ht="15.75" customHeight="1" x14ac:dyDescent="0.25">
      <c r="A819" s="9"/>
    </row>
    <row r="820" spans="1:1" ht="15.75" customHeight="1" x14ac:dyDescent="0.25">
      <c r="A820" s="9"/>
    </row>
    <row r="821" spans="1:1" ht="15.75" customHeight="1" x14ac:dyDescent="0.25">
      <c r="A821" s="9"/>
    </row>
    <row r="822" spans="1:1" ht="15.75" customHeight="1" x14ac:dyDescent="0.25">
      <c r="A822" s="9"/>
    </row>
    <row r="823" spans="1:1" ht="15.75" customHeight="1" x14ac:dyDescent="0.25">
      <c r="A823" s="9"/>
    </row>
    <row r="824" spans="1:1" ht="15.75" customHeight="1" x14ac:dyDescent="0.25">
      <c r="A824" s="9"/>
    </row>
    <row r="825" spans="1:1" ht="15.75" customHeight="1" x14ac:dyDescent="0.25">
      <c r="A825" s="9"/>
    </row>
    <row r="826" spans="1:1" ht="15.75" customHeight="1" x14ac:dyDescent="0.25">
      <c r="A826" s="9"/>
    </row>
    <row r="827" spans="1:1" ht="15.75" customHeight="1" x14ac:dyDescent="0.25">
      <c r="A827" s="9"/>
    </row>
    <row r="828" spans="1:1" ht="15.75" customHeight="1" x14ac:dyDescent="0.25">
      <c r="A828" s="9"/>
    </row>
    <row r="829" spans="1:1" ht="15.75" customHeight="1" x14ac:dyDescent="0.25">
      <c r="A829" s="9"/>
    </row>
    <row r="830" spans="1:1" ht="15.75" customHeight="1" x14ac:dyDescent="0.25">
      <c r="A830" s="9"/>
    </row>
    <row r="831" spans="1:1" ht="15.75" customHeight="1" x14ac:dyDescent="0.25">
      <c r="A831" s="9"/>
    </row>
    <row r="832" spans="1:1" ht="15.75" customHeight="1" x14ac:dyDescent="0.25">
      <c r="A832" s="9"/>
    </row>
    <row r="833" spans="1:1" ht="15.75" customHeight="1" x14ac:dyDescent="0.25">
      <c r="A833" s="9"/>
    </row>
    <row r="834" spans="1:1" ht="15.75" customHeight="1" x14ac:dyDescent="0.25">
      <c r="A834" s="9"/>
    </row>
    <row r="835" spans="1:1" ht="15.75" customHeight="1" x14ac:dyDescent="0.25">
      <c r="A835" s="9"/>
    </row>
    <row r="836" spans="1:1" ht="15.75" customHeight="1" x14ac:dyDescent="0.25">
      <c r="A836" s="9"/>
    </row>
    <row r="837" spans="1:1" ht="15.75" customHeight="1" x14ac:dyDescent="0.25">
      <c r="A837" s="9"/>
    </row>
    <row r="838" spans="1:1" ht="15.75" customHeight="1" x14ac:dyDescent="0.25">
      <c r="A838" s="9"/>
    </row>
    <row r="839" spans="1:1" ht="15.75" customHeight="1" x14ac:dyDescent="0.25">
      <c r="A839" s="9"/>
    </row>
    <row r="840" spans="1:1" ht="15.75" customHeight="1" x14ac:dyDescent="0.25">
      <c r="A840" s="9"/>
    </row>
    <row r="841" spans="1:1" ht="15.75" customHeight="1" x14ac:dyDescent="0.25">
      <c r="A841" s="9"/>
    </row>
    <row r="842" spans="1:1" ht="15.75" customHeight="1" x14ac:dyDescent="0.25">
      <c r="A842" s="9"/>
    </row>
    <row r="843" spans="1:1" ht="15.75" customHeight="1" x14ac:dyDescent="0.25">
      <c r="A843" s="9"/>
    </row>
    <row r="844" spans="1:1" ht="15.75" customHeight="1" x14ac:dyDescent="0.25">
      <c r="A844" s="9"/>
    </row>
    <row r="845" spans="1:1" ht="15.75" customHeight="1" x14ac:dyDescent="0.25">
      <c r="A845" s="9"/>
    </row>
    <row r="846" spans="1:1" ht="15.75" customHeight="1" x14ac:dyDescent="0.25">
      <c r="A846" s="9"/>
    </row>
    <row r="847" spans="1:1" ht="15.75" customHeight="1" x14ac:dyDescent="0.25">
      <c r="A847" s="9"/>
    </row>
    <row r="848" spans="1:1" ht="15.75" customHeight="1" x14ac:dyDescent="0.25">
      <c r="A848" s="9"/>
    </row>
    <row r="849" spans="1:1" ht="15.75" customHeight="1" x14ac:dyDescent="0.25">
      <c r="A849" s="9"/>
    </row>
    <row r="850" spans="1:1" ht="15.75" customHeight="1" x14ac:dyDescent="0.25">
      <c r="A850" s="9"/>
    </row>
    <row r="851" spans="1:1" ht="15.75" customHeight="1" x14ac:dyDescent="0.25">
      <c r="A851" s="9"/>
    </row>
    <row r="852" spans="1:1" ht="15.75" customHeight="1" x14ac:dyDescent="0.25">
      <c r="A852" s="9"/>
    </row>
    <row r="853" spans="1:1" ht="15.75" customHeight="1" x14ac:dyDescent="0.25">
      <c r="A853" s="9"/>
    </row>
    <row r="854" spans="1:1" ht="15.75" customHeight="1" x14ac:dyDescent="0.25">
      <c r="A854" s="9"/>
    </row>
    <row r="855" spans="1:1" ht="15.75" customHeight="1" x14ac:dyDescent="0.25">
      <c r="A855" s="9"/>
    </row>
    <row r="856" spans="1:1" ht="15.75" customHeight="1" x14ac:dyDescent="0.25">
      <c r="A856" s="9"/>
    </row>
    <row r="857" spans="1:1" ht="15.75" customHeight="1" x14ac:dyDescent="0.25">
      <c r="A857" s="9"/>
    </row>
    <row r="858" spans="1:1" ht="15.75" customHeight="1" x14ac:dyDescent="0.25">
      <c r="A858" s="9"/>
    </row>
    <row r="859" spans="1:1" ht="15.75" customHeight="1" x14ac:dyDescent="0.25">
      <c r="A859" s="9"/>
    </row>
    <row r="860" spans="1:1" ht="15.75" customHeight="1" x14ac:dyDescent="0.25">
      <c r="A860" s="9"/>
    </row>
    <row r="861" spans="1:1" ht="15.75" customHeight="1" x14ac:dyDescent="0.25">
      <c r="A861" s="9"/>
    </row>
    <row r="862" spans="1:1" ht="15.75" customHeight="1" x14ac:dyDescent="0.25">
      <c r="A862" s="9"/>
    </row>
    <row r="863" spans="1:1" ht="15.75" customHeight="1" x14ac:dyDescent="0.25">
      <c r="A863" s="9"/>
    </row>
    <row r="864" spans="1:1" ht="15.75" customHeight="1" x14ac:dyDescent="0.25">
      <c r="A864" s="9"/>
    </row>
    <row r="865" spans="1:1" ht="15.75" customHeight="1" x14ac:dyDescent="0.25">
      <c r="A865" s="9"/>
    </row>
    <row r="866" spans="1:1" ht="15.75" customHeight="1" x14ac:dyDescent="0.25">
      <c r="A866" s="9"/>
    </row>
    <row r="867" spans="1:1" ht="15.75" customHeight="1" x14ac:dyDescent="0.25">
      <c r="A867" s="9"/>
    </row>
    <row r="868" spans="1:1" ht="15.75" customHeight="1" x14ac:dyDescent="0.25">
      <c r="A868" s="9"/>
    </row>
    <row r="869" spans="1:1" ht="15.75" customHeight="1" x14ac:dyDescent="0.25">
      <c r="A869" s="9"/>
    </row>
    <row r="870" spans="1:1" ht="15.75" customHeight="1" x14ac:dyDescent="0.25">
      <c r="A870" s="9"/>
    </row>
    <row r="871" spans="1:1" ht="15.75" customHeight="1" x14ac:dyDescent="0.25">
      <c r="A871" s="9"/>
    </row>
    <row r="872" spans="1:1" ht="15.75" customHeight="1" x14ac:dyDescent="0.25">
      <c r="A872" s="9"/>
    </row>
    <row r="873" spans="1:1" ht="15.75" customHeight="1" x14ac:dyDescent="0.25">
      <c r="A873" s="9"/>
    </row>
    <row r="874" spans="1:1" ht="15.75" customHeight="1" x14ac:dyDescent="0.25">
      <c r="A874" s="9"/>
    </row>
    <row r="875" spans="1:1" ht="15.75" customHeight="1" x14ac:dyDescent="0.25">
      <c r="A875" s="9"/>
    </row>
    <row r="876" spans="1:1" ht="15.75" customHeight="1" x14ac:dyDescent="0.25">
      <c r="A876" s="9"/>
    </row>
    <row r="877" spans="1:1" ht="15.75" customHeight="1" x14ac:dyDescent="0.25">
      <c r="A877" s="9"/>
    </row>
    <row r="878" spans="1:1" ht="15.75" customHeight="1" x14ac:dyDescent="0.25">
      <c r="A878" s="9"/>
    </row>
    <row r="879" spans="1:1" ht="15.75" customHeight="1" x14ac:dyDescent="0.25">
      <c r="A879" s="9"/>
    </row>
    <row r="880" spans="1:1" ht="15.75" customHeight="1" x14ac:dyDescent="0.25">
      <c r="A880" s="9"/>
    </row>
    <row r="881" spans="1:1" ht="15.75" customHeight="1" x14ac:dyDescent="0.25">
      <c r="A881" s="9"/>
    </row>
    <row r="882" spans="1:1" ht="15.75" customHeight="1" x14ac:dyDescent="0.25">
      <c r="A882" s="9"/>
    </row>
    <row r="883" spans="1:1" ht="15.75" customHeight="1" x14ac:dyDescent="0.25">
      <c r="A883" s="9"/>
    </row>
    <row r="884" spans="1:1" ht="15.75" customHeight="1" x14ac:dyDescent="0.25">
      <c r="A884" s="9"/>
    </row>
    <row r="885" spans="1:1" ht="15.75" customHeight="1" x14ac:dyDescent="0.25">
      <c r="A885" s="9"/>
    </row>
    <row r="886" spans="1:1" ht="15.75" customHeight="1" x14ac:dyDescent="0.25">
      <c r="A886" s="9"/>
    </row>
    <row r="887" spans="1:1" ht="15.75" customHeight="1" x14ac:dyDescent="0.25">
      <c r="A887" s="9"/>
    </row>
    <row r="888" spans="1:1" ht="15.75" customHeight="1" x14ac:dyDescent="0.25">
      <c r="A888" s="9"/>
    </row>
    <row r="889" spans="1:1" ht="15.75" customHeight="1" x14ac:dyDescent="0.25">
      <c r="A889" s="9"/>
    </row>
    <row r="890" spans="1:1" ht="15.75" customHeight="1" x14ac:dyDescent="0.25">
      <c r="A890" s="9"/>
    </row>
    <row r="891" spans="1:1" ht="15.75" customHeight="1" x14ac:dyDescent="0.25">
      <c r="A891" s="9"/>
    </row>
    <row r="892" spans="1:1" ht="15.75" customHeight="1" x14ac:dyDescent="0.25">
      <c r="A892" s="9"/>
    </row>
    <row r="893" spans="1:1" ht="15.75" customHeight="1" x14ac:dyDescent="0.25">
      <c r="A893" s="9"/>
    </row>
    <row r="894" spans="1:1" ht="15.75" customHeight="1" x14ac:dyDescent="0.25">
      <c r="A894" s="9"/>
    </row>
    <row r="895" spans="1:1" ht="15.75" customHeight="1" x14ac:dyDescent="0.25">
      <c r="A895" s="9"/>
    </row>
    <row r="896" spans="1:1" ht="15.75" customHeight="1" x14ac:dyDescent="0.25">
      <c r="A896" s="9"/>
    </row>
    <row r="897" spans="1:1" ht="15.75" customHeight="1" x14ac:dyDescent="0.25">
      <c r="A897" s="9"/>
    </row>
    <row r="898" spans="1:1" ht="15.75" customHeight="1" x14ac:dyDescent="0.25">
      <c r="A898" s="9"/>
    </row>
    <row r="899" spans="1:1" ht="15.75" customHeight="1" x14ac:dyDescent="0.25">
      <c r="A899" s="9"/>
    </row>
    <row r="900" spans="1:1" ht="15.75" customHeight="1" x14ac:dyDescent="0.25">
      <c r="A900" s="9"/>
    </row>
    <row r="901" spans="1:1" ht="15.75" customHeight="1" x14ac:dyDescent="0.25">
      <c r="A901" s="9"/>
    </row>
    <row r="902" spans="1:1" ht="15.75" customHeight="1" x14ac:dyDescent="0.25">
      <c r="A902" s="9"/>
    </row>
    <row r="903" spans="1:1" ht="15.75" customHeight="1" x14ac:dyDescent="0.25">
      <c r="A903" s="9"/>
    </row>
    <row r="904" spans="1:1" ht="15.75" customHeight="1" x14ac:dyDescent="0.25">
      <c r="A904" s="9"/>
    </row>
    <row r="905" spans="1:1" ht="15.75" customHeight="1" x14ac:dyDescent="0.25">
      <c r="A905" s="9"/>
    </row>
    <row r="906" spans="1:1" ht="15.75" customHeight="1" x14ac:dyDescent="0.25">
      <c r="A906" s="9"/>
    </row>
    <row r="907" spans="1:1" ht="15.75" customHeight="1" x14ac:dyDescent="0.25">
      <c r="A907" s="9"/>
    </row>
    <row r="908" spans="1:1" ht="15.75" customHeight="1" x14ac:dyDescent="0.25">
      <c r="A908" s="9"/>
    </row>
    <row r="909" spans="1:1" ht="15.75" customHeight="1" x14ac:dyDescent="0.25">
      <c r="A909" s="9"/>
    </row>
    <row r="910" spans="1:1" ht="15.75" customHeight="1" x14ac:dyDescent="0.25">
      <c r="A910" s="9"/>
    </row>
    <row r="911" spans="1:1" ht="15.75" customHeight="1" x14ac:dyDescent="0.25">
      <c r="A911" s="9"/>
    </row>
    <row r="912" spans="1:1" ht="15.75" customHeight="1" x14ac:dyDescent="0.25">
      <c r="A912" s="9"/>
    </row>
    <row r="913" spans="1:1" ht="15.75" customHeight="1" x14ac:dyDescent="0.25">
      <c r="A913" s="9"/>
    </row>
    <row r="914" spans="1:1" ht="15.75" customHeight="1" x14ac:dyDescent="0.25">
      <c r="A914" s="9"/>
    </row>
    <row r="915" spans="1:1" ht="15.75" customHeight="1" x14ac:dyDescent="0.25">
      <c r="A915" s="9"/>
    </row>
    <row r="916" spans="1:1" ht="15.75" customHeight="1" x14ac:dyDescent="0.25">
      <c r="A916" s="9"/>
    </row>
    <row r="917" spans="1:1" ht="15.75" customHeight="1" x14ac:dyDescent="0.25">
      <c r="A917" s="9"/>
    </row>
    <row r="918" spans="1:1" ht="15.75" customHeight="1" x14ac:dyDescent="0.25">
      <c r="A918" s="9"/>
    </row>
    <row r="919" spans="1:1" ht="15.75" customHeight="1" x14ac:dyDescent="0.25">
      <c r="A919" s="9"/>
    </row>
    <row r="920" spans="1:1" ht="15.75" customHeight="1" x14ac:dyDescent="0.25">
      <c r="A920" s="9"/>
    </row>
    <row r="921" spans="1:1" ht="15.75" customHeight="1" x14ac:dyDescent="0.25">
      <c r="A921" s="9"/>
    </row>
    <row r="922" spans="1:1" ht="15.75" customHeight="1" x14ac:dyDescent="0.25">
      <c r="A922" s="9"/>
    </row>
    <row r="923" spans="1:1" ht="15.75" customHeight="1" x14ac:dyDescent="0.25">
      <c r="A923" s="9"/>
    </row>
    <row r="924" spans="1:1" ht="15.75" customHeight="1" x14ac:dyDescent="0.25">
      <c r="A924" s="9"/>
    </row>
    <row r="925" spans="1:1" ht="15.75" customHeight="1" x14ac:dyDescent="0.25">
      <c r="A925" s="9"/>
    </row>
    <row r="926" spans="1:1" ht="15.75" customHeight="1" x14ac:dyDescent="0.25">
      <c r="A926" s="9"/>
    </row>
    <row r="927" spans="1:1" ht="15.75" customHeight="1" x14ac:dyDescent="0.25">
      <c r="A927" s="9"/>
    </row>
    <row r="928" spans="1:1" ht="15.75" customHeight="1" x14ac:dyDescent="0.25">
      <c r="A928" s="9"/>
    </row>
    <row r="929" spans="1:1" ht="15.75" customHeight="1" x14ac:dyDescent="0.25">
      <c r="A929" s="9"/>
    </row>
    <row r="930" spans="1:1" ht="15.75" customHeight="1" x14ac:dyDescent="0.25">
      <c r="A930" s="9"/>
    </row>
    <row r="931" spans="1:1" ht="15.75" customHeight="1" x14ac:dyDescent="0.25">
      <c r="A931" s="9"/>
    </row>
    <row r="932" spans="1:1" ht="15.75" customHeight="1" x14ac:dyDescent="0.25">
      <c r="A932" s="9"/>
    </row>
    <row r="933" spans="1:1" ht="15.75" customHeight="1" x14ac:dyDescent="0.25">
      <c r="A933" s="9"/>
    </row>
    <row r="934" spans="1:1" ht="15.75" customHeight="1" x14ac:dyDescent="0.25">
      <c r="A934" s="9"/>
    </row>
    <row r="935" spans="1:1" ht="15.75" customHeight="1" x14ac:dyDescent="0.25">
      <c r="A935" s="9"/>
    </row>
    <row r="936" spans="1:1" ht="15.75" customHeight="1" x14ac:dyDescent="0.25">
      <c r="A936" s="9"/>
    </row>
    <row r="937" spans="1:1" ht="15.75" customHeight="1" x14ac:dyDescent="0.25">
      <c r="A937" s="9"/>
    </row>
    <row r="938" spans="1:1" ht="15.75" customHeight="1" x14ac:dyDescent="0.25">
      <c r="A938" s="9"/>
    </row>
    <row r="939" spans="1:1" ht="15.75" customHeight="1" x14ac:dyDescent="0.25">
      <c r="A939" s="9"/>
    </row>
    <row r="940" spans="1:1" ht="15.75" customHeight="1" x14ac:dyDescent="0.25">
      <c r="A940" s="9"/>
    </row>
    <row r="941" spans="1:1" ht="15.75" customHeight="1" x14ac:dyDescent="0.25">
      <c r="A941" s="9"/>
    </row>
    <row r="942" spans="1:1" ht="15.75" customHeight="1" x14ac:dyDescent="0.25">
      <c r="A942" s="9"/>
    </row>
    <row r="943" spans="1:1" ht="15.75" customHeight="1" x14ac:dyDescent="0.25">
      <c r="A943" s="9"/>
    </row>
    <row r="944" spans="1:1" ht="15.75" customHeight="1" x14ac:dyDescent="0.25">
      <c r="A944" s="9"/>
    </row>
    <row r="945" spans="1:1" ht="15.75" customHeight="1" x14ac:dyDescent="0.25">
      <c r="A945" s="9"/>
    </row>
    <row r="946" spans="1:1" ht="15.75" customHeight="1" x14ac:dyDescent="0.25">
      <c r="A946" s="9"/>
    </row>
    <row r="947" spans="1:1" ht="15.75" customHeight="1" x14ac:dyDescent="0.25">
      <c r="A947" s="9"/>
    </row>
    <row r="948" spans="1:1" ht="15.75" customHeight="1" x14ac:dyDescent="0.25">
      <c r="A948" s="9"/>
    </row>
    <row r="949" spans="1:1" ht="15.75" customHeight="1" x14ac:dyDescent="0.25">
      <c r="A949" s="9"/>
    </row>
    <row r="950" spans="1:1" ht="15.75" customHeight="1" x14ac:dyDescent="0.25">
      <c r="A950" s="9"/>
    </row>
    <row r="951" spans="1:1" ht="15.75" customHeight="1" x14ac:dyDescent="0.25">
      <c r="A951" s="9"/>
    </row>
    <row r="952" spans="1:1" ht="15.75" customHeight="1" x14ac:dyDescent="0.25">
      <c r="A952" s="9"/>
    </row>
    <row r="953" spans="1:1" ht="15.75" customHeight="1" x14ac:dyDescent="0.25">
      <c r="A953" s="9"/>
    </row>
    <row r="954" spans="1:1" ht="15.75" customHeight="1" x14ac:dyDescent="0.25">
      <c r="A954" s="9"/>
    </row>
    <row r="955" spans="1:1" ht="15.75" customHeight="1" x14ac:dyDescent="0.25">
      <c r="A955" s="9"/>
    </row>
    <row r="956" spans="1:1" ht="15.75" customHeight="1" x14ac:dyDescent="0.25">
      <c r="A956" s="9"/>
    </row>
    <row r="957" spans="1:1" ht="15.75" customHeight="1" x14ac:dyDescent="0.25">
      <c r="A957" s="9"/>
    </row>
    <row r="958" spans="1:1" ht="15.75" customHeight="1" x14ac:dyDescent="0.25">
      <c r="A958" s="9"/>
    </row>
    <row r="959" spans="1:1" ht="15.75" customHeight="1" x14ac:dyDescent="0.25">
      <c r="A959" s="9"/>
    </row>
    <row r="960" spans="1:1" ht="15.75" customHeight="1" x14ac:dyDescent="0.25">
      <c r="A960" s="9"/>
    </row>
    <row r="961" spans="1:1" ht="15.75" customHeight="1" x14ac:dyDescent="0.25">
      <c r="A961" s="9"/>
    </row>
    <row r="962" spans="1:1" ht="15.75" customHeight="1" x14ac:dyDescent="0.25">
      <c r="A962" s="9"/>
    </row>
    <row r="963" spans="1:1" ht="15.75" customHeight="1" x14ac:dyDescent="0.25">
      <c r="A963" s="9"/>
    </row>
    <row r="964" spans="1:1" ht="15.75" customHeight="1" x14ac:dyDescent="0.25">
      <c r="A964" s="9"/>
    </row>
    <row r="965" spans="1:1" ht="15.75" customHeight="1" x14ac:dyDescent="0.25">
      <c r="A965" s="9"/>
    </row>
    <row r="966" spans="1:1" ht="15.75" customHeight="1" x14ac:dyDescent="0.25">
      <c r="A966" s="9"/>
    </row>
    <row r="967" spans="1:1" ht="15.75" customHeight="1" x14ac:dyDescent="0.25">
      <c r="A967" s="9"/>
    </row>
    <row r="968" spans="1:1" ht="15.75" customHeight="1" x14ac:dyDescent="0.25">
      <c r="A968" s="9"/>
    </row>
    <row r="969" spans="1:1" ht="15.75" customHeight="1" x14ac:dyDescent="0.25">
      <c r="A969" s="9"/>
    </row>
    <row r="970" spans="1:1" ht="15.75" customHeight="1" x14ac:dyDescent="0.25">
      <c r="A970" s="9"/>
    </row>
    <row r="971" spans="1:1" ht="15.75" customHeight="1" x14ac:dyDescent="0.25">
      <c r="A971" s="9"/>
    </row>
    <row r="972" spans="1:1" ht="15.75" customHeight="1" x14ac:dyDescent="0.25">
      <c r="A972" s="9"/>
    </row>
    <row r="973" spans="1:1" ht="15.75" customHeight="1" x14ac:dyDescent="0.25">
      <c r="A973" s="9"/>
    </row>
    <row r="974" spans="1:1" ht="15.75" customHeight="1" x14ac:dyDescent="0.25">
      <c r="A974" s="9"/>
    </row>
    <row r="975" spans="1:1" ht="15.75" customHeight="1" x14ac:dyDescent="0.25">
      <c r="A975" s="9"/>
    </row>
    <row r="976" spans="1:1" ht="15.75" customHeight="1" x14ac:dyDescent="0.25">
      <c r="A976" s="9"/>
    </row>
    <row r="977" spans="1:1" ht="15.75" customHeight="1" x14ac:dyDescent="0.25">
      <c r="A977" s="9"/>
    </row>
    <row r="978" spans="1:1" ht="15.75" customHeight="1" x14ac:dyDescent="0.25">
      <c r="A978" s="9"/>
    </row>
    <row r="979" spans="1:1" ht="15.75" customHeight="1" x14ac:dyDescent="0.25">
      <c r="A979" s="9"/>
    </row>
    <row r="980" spans="1:1" ht="15.75" customHeight="1" x14ac:dyDescent="0.25">
      <c r="A980" s="9"/>
    </row>
    <row r="981" spans="1:1" ht="15.75" customHeight="1" x14ac:dyDescent="0.25">
      <c r="A981" s="9"/>
    </row>
    <row r="982" spans="1:1" ht="15.75" customHeight="1" x14ac:dyDescent="0.25">
      <c r="A982" s="9"/>
    </row>
    <row r="983" spans="1:1" ht="15.75" customHeight="1" x14ac:dyDescent="0.25">
      <c r="A983" s="9"/>
    </row>
    <row r="984" spans="1:1" ht="15.75" customHeight="1" x14ac:dyDescent="0.25">
      <c r="A984" s="9"/>
    </row>
    <row r="985" spans="1:1" ht="15.75" customHeight="1" x14ac:dyDescent="0.25">
      <c r="A985" s="9"/>
    </row>
    <row r="986" spans="1:1" ht="15.75" customHeight="1" x14ac:dyDescent="0.25">
      <c r="A986" s="9"/>
    </row>
    <row r="987" spans="1:1" ht="15.75" customHeight="1" x14ac:dyDescent="0.25">
      <c r="A987" s="9"/>
    </row>
    <row r="988" spans="1:1" ht="15.75" customHeight="1" x14ac:dyDescent="0.25">
      <c r="A988" s="9"/>
    </row>
    <row r="989" spans="1:1" ht="15.75" customHeight="1" x14ac:dyDescent="0.25">
      <c r="A989" s="9"/>
    </row>
    <row r="990" spans="1:1" ht="15.75" customHeight="1" x14ac:dyDescent="0.25">
      <c r="A990" s="9"/>
    </row>
    <row r="991" spans="1:1" ht="15.75" customHeight="1" x14ac:dyDescent="0.25">
      <c r="A991" s="9"/>
    </row>
    <row r="992" spans="1:1" ht="15.75" customHeight="1" x14ac:dyDescent="0.25">
      <c r="A992" s="9"/>
    </row>
    <row r="993" spans="1:1" ht="15.75" customHeight="1" x14ac:dyDescent="0.25">
      <c r="A993" s="9"/>
    </row>
    <row r="994" spans="1:1" ht="15.75" customHeight="1" x14ac:dyDescent="0.25">
      <c r="A994" s="9"/>
    </row>
    <row r="995" spans="1:1" ht="15.75" customHeight="1" x14ac:dyDescent="0.25">
      <c r="A995" s="9"/>
    </row>
    <row r="996" spans="1:1" ht="15.75" customHeight="1" x14ac:dyDescent="0.25">
      <c r="A996" s="9"/>
    </row>
    <row r="997" spans="1:1" ht="15.75" customHeight="1" x14ac:dyDescent="0.25">
      <c r="A997" s="9"/>
    </row>
    <row r="998" spans="1:1" ht="15.75" customHeight="1" x14ac:dyDescent="0.25">
      <c r="A998" s="9"/>
    </row>
    <row r="999" spans="1:1" ht="15.75" customHeight="1" x14ac:dyDescent="0.25">
      <c r="A999" s="9"/>
    </row>
    <row r="1000" spans="1:1" ht="15.75" customHeight="1" x14ac:dyDescent="0.25">
      <c r="A1000" s="9"/>
    </row>
  </sheetData>
  <pageMargins left="0.70866141732283472" right="0.70866141732283472" top="0.74803149606299213" bottom="0.74803149606299213" header="0" footer="0"/>
  <pageSetup paperSize="9" scale="10" orientation="landscape" r:id="rId1"/>
  <headerFooter>
    <oddHeader>&amp;R&amp;F  &amp;A</oddHeader>
    <oddFooter>&amp;L© 2016&amp;CPage &amp;P of</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4F002F8CDD7ACF40A6C36B1C9FA62C55" ma:contentTypeVersion="14" ma:contentTypeDescription="Create a new document." ma:contentTypeScope="" ma:versionID="6c89911dbbba69f85380b0cbe19a7a97">
  <xsd:schema xmlns:xsd="http://www.w3.org/2001/XMLSchema" xmlns:xs="http://www.w3.org/2001/XMLSchema" xmlns:p="http://schemas.microsoft.com/office/2006/metadata/properties" xmlns:ns2="69eded41-6c5d-4718-b7b7-dbfd1652bccf" xmlns:ns3="6ea4884f-dd23-4a9e-9674-e0962577458b" targetNamespace="http://schemas.microsoft.com/office/2006/metadata/properties" ma:root="true" ma:fieldsID="293c7e17b22c7855182087285b20e1b3" ns2:_="" ns3:_="">
    <xsd:import namespace="69eded41-6c5d-4718-b7b7-dbfd1652bccf"/>
    <xsd:import namespace="6ea4884f-dd23-4a9e-9674-e0962577458b"/>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3:SharedWithUsers" minOccurs="0"/>
                <xsd:element ref="ns3:SharedWithDetails" minOccurs="0"/>
                <xsd:element ref="ns2:lcf76f155ced4ddcb4097134ff3c332f" minOccurs="0"/>
                <xsd:element ref="ns3:TaxCatchAll" minOccurs="0"/>
                <xsd:element ref="ns2:MediaServiceGenerationTime" minOccurs="0"/>
                <xsd:element ref="ns2:MediaServiceEventHashCode" minOccurs="0"/>
                <xsd:element ref="ns2:MediaServiceOCR"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9eded41-6c5d-4718-b7b7-dbfd1652bcc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c32ff089-c713-41da-a7f8-7725fa36ebb8" ma:termSetId="09814cd3-568e-fe90-9814-8d621ff8fb84" ma:anchorId="fba54fb3-c3e1-fe81-a776-ca4b69148c4d" ma:open="true" ma:isKeyword="false">
      <xsd:complexType>
        <xsd:sequence>
          <xsd:element ref="pc:Terms" minOccurs="0" maxOccurs="1"/>
        </xsd:sequence>
      </xsd:complex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ServiceObjectDetectorVersions" ma:index="20"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ea4884f-dd23-4a9e-9674-e0962577458b"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797a576b-233c-4f6a-bc99-79689ae6a87f}" ma:internalName="TaxCatchAll" ma:showField="CatchAllData" ma:web="6ea4884f-dd23-4a9e-9674-e0962577458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69eded41-6c5d-4718-b7b7-dbfd1652bccf">
      <Terms xmlns="http://schemas.microsoft.com/office/infopath/2007/PartnerControls"/>
    </lcf76f155ced4ddcb4097134ff3c332f>
    <TaxCatchAll xmlns="6ea4884f-dd23-4a9e-9674-e0962577458b"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8FB6F1F-0DEC-46E7-9A74-900C91952F5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9eded41-6c5d-4718-b7b7-dbfd1652bccf"/>
    <ds:schemaRef ds:uri="6ea4884f-dd23-4a9e-9674-e0962577458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2B99976A-A153-47D6-BDE7-A7DFBE24173B}">
  <ds:schemaRefs>
    <ds:schemaRef ds:uri="http://schemas.microsoft.com/office/2006/metadata/properties"/>
    <ds:schemaRef ds:uri="http://schemas.microsoft.com/office/infopath/2007/PartnerControls"/>
    <ds:schemaRef ds:uri="69eded41-6c5d-4718-b7b7-dbfd1652bccf"/>
    <ds:schemaRef ds:uri="6ea4884f-dd23-4a9e-9674-e0962577458b"/>
  </ds:schemaRefs>
</ds:datastoreItem>
</file>

<file path=customXml/itemProps3.xml><?xml version="1.0" encoding="utf-8"?>
<ds:datastoreItem xmlns:ds="http://schemas.openxmlformats.org/officeDocument/2006/customXml" ds:itemID="{77F24BD9-5459-4237-BB08-C0910670372A}">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15</vt:i4>
      </vt:variant>
      <vt:variant>
        <vt:lpstr>Named Ranges</vt:lpstr>
      </vt:variant>
      <vt:variant>
        <vt:i4>256</vt:i4>
      </vt:variant>
    </vt:vector>
  </HeadingPairs>
  <TitlesOfParts>
    <vt:vector size="271" baseType="lpstr">
      <vt:lpstr>Info</vt:lpstr>
      <vt:lpstr>Red Bull Model</vt:lpstr>
      <vt:lpstr>WACC</vt:lpstr>
      <vt:lpstr>DCF</vt:lpstr>
      <vt:lpstr>Trading_comps</vt:lpstr>
      <vt:lpstr>1</vt:lpstr>
      <vt:lpstr>2</vt:lpstr>
      <vt:lpstr>3</vt:lpstr>
      <vt:lpstr>Transaction_comps</vt:lpstr>
      <vt:lpstr>Valuation_summary</vt:lpstr>
      <vt:lpstr>Synergies</vt:lpstr>
      <vt:lpstr>M&amp;A</vt:lpstr>
      <vt:lpstr>LBO</vt:lpstr>
      <vt:lpstr>Scratchpad</vt:lpstr>
      <vt:lpstr>Factset codes</vt:lpstr>
      <vt:lpstr>ANALYSIS_DATE</vt:lpstr>
      <vt:lpstr>'1'!BETA</vt:lpstr>
      <vt:lpstr>'2'!BETA</vt:lpstr>
      <vt:lpstr>'3'!BETA</vt:lpstr>
      <vt:lpstr>'1'!CASH_AND_ST_INVESTMENTS</vt:lpstr>
      <vt:lpstr>'2'!CASH_AND_ST_INVESTMENTS</vt:lpstr>
      <vt:lpstr>'3'!CASH_AND_ST_INVESTMENTS</vt:lpstr>
      <vt:lpstr>Circswitch</vt:lpstr>
      <vt:lpstr>'1'!COMP_CALENDARIZE_PERCENTAGES</vt:lpstr>
      <vt:lpstr>'2'!COMP_CALENDARIZE_PERCENTAGES</vt:lpstr>
      <vt:lpstr>'3'!COMP_CALENDARIZE_PERCENTAGES</vt:lpstr>
      <vt:lpstr>'Factset codes'!COMP_CALENDARIZE_PERCENTAGES</vt:lpstr>
      <vt:lpstr>'1'!COMP_EQ_VALUE</vt:lpstr>
      <vt:lpstr>'2'!COMP_EQ_VALUE</vt:lpstr>
      <vt:lpstr>'3'!COMP_EQ_VALUE</vt:lpstr>
      <vt:lpstr>'Factset codes'!COMP_EQ_VALUE</vt:lpstr>
      <vt:lpstr>'1'!COMP_EV</vt:lpstr>
      <vt:lpstr>'2'!COMP_EV</vt:lpstr>
      <vt:lpstr>'3'!COMP_EV</vt:lpstr>
      <vt:lpstr>'Factset codes'!COMP_EV</vt:lpstr>
      <vt:lpstr>'1'!COMP_FX</vt:lpstr>
      <vt:lpstr>'2'!COMP_FX</vt:lpstr>
      <vt:lpstr>'3'!COMP_FX</vt:lpstr>
      <vt:lpstr>'1'!COMP_MTR</vt:lpstr>
      <vt:lpstr>'2'!COMP_MTR</vt:lpstr>
      <vt:lpstr>'3'!COMP_MTR</vt:lpstr>
      <vt:lpstr>'Factset codes'!Comp_MTR</vt:lpstr>
      <vt:lpstr>'1'!COMP_SHAREPRICE</vt:lpstr>
      <vt:lpstr>'2'!COMP_SHAREPRICE</vt:lpstr>
      <vt:lpstr>'3'!COMP_SHAREPRICE</vt:lpstr>
      <vt:lpstr>'Factset codes'!COMP_SHAREPRICE</vt:lpstr>
      <vt:lpstr>'1'!COMPANY_NAME</vt:lpstr>
      <vt:lpstr>'2'!COMPANY_NAME</vt:lpstr>
      <vt:lpstr>'3'!COMPANY_NAME</vt:lpstr>
      <vt:lpstr>'1'!CREDIT_RATING</vt:lpstr>
      <vt:lpstr>'2'!CREDIT_RATING</vt:lpstr>
      <vt:lpstr>'3'!CREDIT_RATING</vt:lpstr>
      <vt:lpstr>'1'!DSO</vt:lpstr>
      <vt:lpstr>'2'!DSO</vt:lpstr>
      <vt:lpstr>'3'!DSO</vt:lpstr>
      <vt:lpstr>'1'!EBIT_CY1</vt:lpstr>
      <vt:lpstr>'2'!EBIT_CY1</vt:lpstr>
      <vt:lpstr>'3'!EBIT_CY1</vt:lpstr>
      <vt:lpstr>'1'!EBIT_CY2</vt:lpstr>
      <vt:lpstr>'2'!EBIT_CY2</vt:lpstr>
      <vt:lpstr>'3'!EBIT_CY2</vt:lpstr>
      <vt:lpstr>'1'!EBIT_CY3</vt:lpstr>
      <vt:lpstr>'2'!EBIT_CY3</vt:lpstr>
      <vt:lpstr>'3'!EBIT_CY3</vt:lpstr>
      <vt:lpstr>'1'!EBIT_CY4</vt:lpstr>
      <vt:lpstr>'2'!EBIT_CY4</vt:lpstr>
      <vt:lpstr>'3'!EBIT_CY4</vt:lpstr>
      <vt:lpstr>'1'!EBIT_LTM</vt:lpstr>
      <vt:lpstr>'2'!EBIT_LTM</vt:lpstr>
      <vt:lpstr>'3'!EBIT_LTM</vt:lpstr>
      <vt:lpstr>'Factset codes'!EBIT_LTM</vt:lpstr>
      <vt:lpstr>'1'!EBITDA_CY1</vt:lpstr>
      <vt:lpstr>'2'!EBITDA_CY1</vt:lpstr>
      <vt:lpstr>'3'!EBITDA_CY1</vt:lpstr>
      <vt:lpstr>'1'!EBITDA_CY2</vt:lpstr>
      <vt:lpstr>'2'!EBITDA_CY2</vt:lpstr>
      <vt:lpstr>'3'!EBITDA_CY2</vt:lpstr>
      <vt:lpstr>'1'!EBITDA_CY3</vt:lpstr>
      <vt:lpstr>'2'!EBITDA_CY3</vt:lpstr>
      <vt:lpstr>'3'!EBITDA_CY3</vt:lpstr>
      <vt:lpstr>'1'!EBITDA_CY4</vt:lpstr>
      <vt:lpstr>'2'!EBITDA_CY4</vt:lpstr>
      <vt:lpstr>'3'!EBITDA_CY4</vt:lpstr>
      <vt:lpstr>'1'!EBITDA_LTM</vt:lpstr>
      <vt:lpstr>'2'!EBITDA_LTM</vt:lpstr>
      <vt:lpstr>'3'!EBITDA_LTM</vt:lpstr>
      <vt:lpstr>'Factset codes'!EBITDA_LTM</vt:lpstr>
      <vt:lpstr>'1'!EBITDAR_CY1</vt:lpstr>
      <vt:lpstr>'2'!EBITDAR_CY1</vt:lpstr>
      <vt:lpstr>'3'!EBITDAR_CY1</vt:lpstr>
      <vt:lpstr>'1'!EBITDAR_CY2</vt:lpstr>
      <vt:lpstr>'2'!EBITDAR_CY2</vt:lpstr>
      <vt:lpstr>'3'!EBITDAR_CY2</vt:lpstr>
      <vt:lpstr>'1'!EBITDAR_CY3</vt:lpstr>
      <vt:lpstr>'2'!EBITDAR_CY3</vt:lpstr>
      <vt:lpstr>'3'!EBITDAR_CY3</vt:lpstr>
      <vt:lpstr>'1'!EBITDAR_LTM</vt:lpstr>
      <vt:lpstr>'2'!EBITDAR_LTM</vt:lpstr>
      <vt:lpstr>'3'!EBITDAR_LTM</vt:lpstr>
      <vt:lpstr>'1'!EBITR_CY1</vt:lpstr>
      <vt:lpstr>'2'!EBITR_CY1</vt:lpstr>
      <vt:lpstr>'3'!EBITR_CY1</vt:lpstr>
      <vt:lpstr>'1'!EBITR_CY2</vt:lpstr>
      <vt:lpstr>'2'!EBITR_CY2</vt:lpstr>
      <vt:lpstr>'3'!EBITR_CY2</vt:lpstr>
      <vt:lpstr>'1'!EBITR_CY3</vt:lpstr>
      <vt:lpstr>'2'!EBITR_CY3</vt:lpstr>
      <vt:lpstr>'3'!EBITR_CY3</vt:lpstr>
      <vt:lpstr>'1'!EBITR_LTM</vt:lpstr>
      <vt:lpstr>'2'!EBITR_LTM</vt:lpstr>
      <vt:lpstr>'3'!EBITR_LTM</vt:lpstr>
      <vt:lpstr>'1'!EPS_5YR_GROWTH</vt:lpstr>
      <vt:lpstr>'2'!EPS_5YR_GROWTH</vt:lpstr>
      <vt:lpstr>'3'!EPS_5YR_GROWTH</vt:lpstr>
      <vt:lpstr>'1'!EPS_CY1</vt:lpstr>
      <vt:lpstr>'2'!EPS_CY1</vt:lpstr>
      <vt:lpstr>'3'!EPS_CY1</vt:lpstr>
      <vt:lpstr>'1'!EPS_CY2</vt:lpstr>
      <vt:lpstr>'2'!EPS_CY2</vt:lpstr>
      <vt:lpstr>'3'!EPS_CY2</vt:lpstr>
      <vt:lpstr>'1'!EPS_CY3</vt:lpstr>
      <vt:lpstr>'2'!EPS_CY3</vt:lpstr>
      <vt:lpstr>'3'!EPS_CY3</vt:lpstr>
      <vt:lpstr>'1'!EPS_CY4</vt:lpstr>
      <vt:lpstr>'2'!EPS_CY4</vt:lpstr>
      <vt:lpstr>'3'!EPS_CY4</vt:lpstr>
      <vt:lpstr>'1'!EV_EBIT_CY1</vt:lpstr>
      <vt:lpstr>'2'!EV_EBIT_CY1</vt:lpstr>
      <vt:lpstr>'3'!EV_EBIT_CY1</vt:lpstr>
      <vt:lpstr>'Factset codes'!EV_EBIT_CY1</vt:lpstr>
      <vt:lpstr>'1'!EV_EBIT_CY2</vt:lpstr>
      <vt:lpstr>'2'!EV_EBIT_CY2</vt:lpstr>
      <vt:lpstr>'3'!EV_EBIT_CY2</vt:lpstr>
      <vt:lpstr>'Factset codes'!EV_EBIT_CY2</vt:lpstr>
      <vt:lpstr>'1'!EV_EBIT_CY3</vt:lpstr>
      <vt:lpstr>'2'!EV_EBIT_CY3</vt:lpstr>
      <vt:lpstr>'3'!EV_EBIT_CY3</vt:lpstr>
      <vt:lpstr>'Factset codes'!EV_EBIT_CY3</vt:lpstr>
      <vt:lpstr>'1'!EV_EBIT_CY4</vt:lpstr>
      <vt:lpstr>'2'!EV_EBIT_CY4</vt:lpstr>
      <vt:lpstr>'3'!EV_EBIT_CY4</vt:lpstr>
      <vt:lpstr>'Factset codes'!EV_EBIT_CY4</vt:lpstr>
      <vt:lpstr>'1'!EV_EBIT_LTM</vt:lpstr>
      <vt:lpstr>'2'!EV_EBIT_LTM</vt:lpstr>
      <vt:lpstr>'3'!EV_EBIT_LTM</vt:lpstr>
      <vt:lpstr>'Factset codes'!EV_EBIT_LTM</vt:lpstr>
      <vt:lpstr>'1'!EV_EBITDA_CY1</vt:lpstr>
      <vt:lpstr>'2'!EV_EBITDA_CY1</vt:lpstr>
      <vt:lpstr>'3'!EV_EBITDA_CY1</vt:lpstr>
      <vt:lpstr>'Factset codes'!EV_EBITDA_CY1</vt:lpstr>
      <vt:lpstr>'1'!EV_EBITDA_CY2</vt:lpstr>
      <vt:lpstr>'2'!EV_EBITDA_CY2</vt:lpstr>
      <vt:lpstr>'3'!EV_EBITDA_CY2</vt:lpstr>
      <vt:lpstr>'Factset codes'!EV_EBITDA_CY2</vt:lpstr>
      <vt:lpstr>'1'!EV_EBITDA_CY3</vt:lpstr>
      <vt:lpstr>'2'!EV_EBITDA_CY3</vt:lpstr>
      <vt:lpstr>'3'!EV_EBITDA_CY3</vt:lpstr>
      <vt:lpstr>'Factset codes'!EV_EBITDA_CY3</vt:lpstr>
      <vt:lpstr>'1'!EV_EBITDA_CY4</vt:lpstr>
      <vt:lpstr>'2'!EV_EBITDA_CY4</vt:lpstr>
      <vt:lpstr>'3'!EV_EBITDA_CY4</vt:lpstr>
      <vt:lpstr>'Factset codes'!EV_EBITDA_CY4</vt:lpstr>
      <vt:lpstr>'1'!EV_EBITDA_LMT</vt:lpstr>
      <vt:lpstr>'2'!EV_EBITDA_LMT</vt:lpstr>
      <vt:lpstr>'3'!EV_EBITDA_LMT</vt:lpstr>
      <vt:lpstr>'Factset codes'!EV_EBITDA_LMT</vt:lpstr>
      <vt:lpstr>'1'!EV_REVENUE_CY1</vt:lpstr>
      <vt:lpstr>'2'!EV_REVENUE_CY1</vt:lpstr>
      <vt:lpstr>'3'!EV_REVENUE_CY1</vt:lpstr>
      <vt:lpstr>'Factset codes'!EV_REVENUE_CY1</vt:lpstr>
      <vt:lpstr>'1'!EV_REVENUE_CY2</vt:lpstr>
      <vt:lpstr>'2'!EV_REVENUE_CY2</vt:lpstr>
      <vt:lpstr>'3'!EV_REVENUE_CY2</vt:lpstr>
      <vt:lpstr>'Factset codes'!EV_REVENUE_CY2</vt:lpstr>
      <vt:lpstr>'1'!EV_REVENUE_CY3</vt:lpstr>
      <vt:lpstr>'2'!EV_REVENUE_CY3</vt:lpstr>
      <vt:lpstr>'3'!EV_REVENUE_CY3</vt:lpstr>
      <vt:lpstr>'Factset codes'!EV_REVENUE_CY3</vt:lpstr>
      <vt:lpstr>'1'!EV_REVENUE_CY4</vt:lpstr>
      <vt:lpstr>'2'!EV_REVENUE_CY4</vt:lpstr>
      <vt:lpstr>'3'!EV_REVENUE_CY4</vt:lpstr>
      <vt:lpstr>'Factset codes'!EV_REVENUE_CY4</vt:lpstr>
      <vt:lpstr>'1'!EV_REVENUE_LTM</vt:lpstr>
      <vt:lpstr>'2'!EV_REVENUE_LTM</vt:lpstr>
      <vt:lpstr>'3'!EV_REVENUE_LTM</vt:lpstr>
      <vt:lpstr>'Factset codes'!EV_REVENUE_LTM</vt:lpstr>
      <vt:lpstr>'1'!EVR</vt:lpstr>
      <vt:lpstr>'2'!EVR</vt:lpstr>
      <vt:lpstr>'3'!EVR</vt:lpstr>
      <vt:lpstr>'1'!FCF_LTM</vt:lpstr>
      <vt:lpstr>'2'!FCF_LTM</vt:lpstr>
      <vt:lpstr>'3'!FCF_LTM</vt:lpstr>
      <vt:lpstr>'Factset codes'!FCF_LTM</vt:lpstr>
      <vt:lpstr>FX</vt:lpstr>
      <vt:lpstr>'1'!GROSS_DEBT_LTM_EBITDA</vt:lpstr>
      <vt:lpstr>'2'!GROSS_DEBT_LTM_EBITDA</vt:lpstr>
      <vt:lpstr>'3'!GROSS_DEBT_LTM_EBITDA</vt:lpstr>
      <vt:lpstr>ltg</vt:lpstr>
      <vt:lpstr>MAIN_CURRENCY</vt:lpstr>
      <vt:lpstr>'1'!OTHER_ADJUSTMENTS</vt:lpstr>
      <vt:lpstr>'2'!OTHER_ADJUSTMENTS</vt:lpstr>
      <vt:lpstr>'3'!OTHER_ADJUSTMENTS</vt:lpstr>
      <vt:lpstr>'1'!P_BV</vt:lpstr>
      <vt:lpstr>'2'!P_BV</vt:lpstr>
      <vt:lpstr>'3'!P_BV</vt:lpstr>
      <vt:lpstr>'1'!PE_CY1</vt:lpstr>
      <vt:lpstr>'2'!PE_CY1</vt:lpstr>
      <vt:lpstr>'3'!PE_CY1</vt:lpstr>
      <vt:lpstr>'Factset codes'!PE_CY1</vt:lpstr>
      <vt:lpstr>'1'!PE_CY2</vt:lpstr>
      <vt:lpstr>'2'!PE_CY2</vt:lpstr>
      <vt:lpstr>'3'!PE_CY2</vt:lpstr>
      <vt:lpstr>'Factset codes'!PE_CY2</vt:lpstr>
      <vt:lpstr>'1'!PE_CY3</vt:lpstr>
      <vt:lpstr>'2'!PE_CY3</vt:lpstr>
      <vt:lpstr>'3'!PE_CY3</vt:lpstr>
      <vt:lpstr>'Factset codes'!PE_CY3</vt:lpstr>
      <vt:lpstr>'1'!PE_CY4</vt:lpstr>
      <vt:lpstr>'2'!PE_CY4</vt:lpstr>
      <vt:lpstr>'3'!PE_CY4</vt:lpstr>
      <vt:lpstr>'Factset codes'!PE_CY4</vt:lpstr>
      <vt:lpstr>'1'!Print_Area</vt:lpstr>
      <vt:lpstr>'2'!Print_Area</vt:lpstr>
      <vt:lpstr>'3'!Print_Area</vt:lpstr>
      <vt:lpstr>DCF!Print_Area</vt:lpstr>
      <vt:lpstr>Info!Print_Area</vt:lpstr>
      <vt:lpstr>LBO!Print_Area</vt:lpstr>
      <vt:lpstr>'M&amp;A'!Print_Area</vt:lpstr>
      <vt:lpstr>'Red Bull Model'!Print_Area</vt:lpstr>
      <vt:lpstr>Scratchpad!Print_Area</vt:lpstr>
      <vt:lpstr>Synergies!Print_Area</vt:lpstr>
      <vt:lpstr>Trading_comps!Print_Area</vt:lpstr>
      <vt:lpstr>Transaction_comps!Print_Area</vt:lpstr>
      <vt:lpstr>Valuation_summary!Print_Area</vt:lpstr>
      <vt:lpstr>WACC!Print_Area</vt:lpstr>
      <vt:lpstr>DCF!Print_Titles</vt:lpstr>
      <vt:lpstr>LBO!Print_Titles</vt:lpstr>
      <vt:lpstr>'Red Bull Model'!Print_Titles</vt:lpstr>
      <vt:lpstr>Transaction_comps!Print_Titles</vt:lpstr>
      <vt:lpstr>'1'!ROIC</vt:lpstr>
      <vt:lpstr>'2'!ROIC</vt:lpstr>
      <vt:lpstr>'3'!ROIC</vt:lpstr>
      <vt:lpstr>'1'!SALES_CY1</vt:lpstr>
      <vt:lpstr>'2'!SALES_CY1</vt:lpstr>
      <vt:lpstr>'3'!SALES_CY1</vt:lpstr>
      <vt:lpstr>'1'!SALES_CY2</vt:lpstr>
      <vt:lpstr>'2'!SALES_CY2</vt:lpstr>
      <vt:lpstr>'3'!SALES_CY2</vt:lpstr>
      <vt:lpstr>'1'!SALES_CY3</vt:lpstr>
      <vt:lpstr>'2'!SALES_CY3</vt:lpstr>
      <vt:lpstr>'3'!SALES_CY3</vt:lpstr>
      <vt:lpstr>'1'!SALES_CY4</vt:lpstr>
      <vt:lpstr>'2'!SALES_CY4</vt:lpstr>
      <vt:lpstr>'3'!SALES_CY4</vt:lpstr>
      <vt:lpstr>'1'!SALES_LTM</vt:lpstr>
      <vt:lpstr>'2'!SALES_LTM</vt:lpstr>
      <vt:lpstr>'3'!SALES_LTM</vt:lpstr>
      <vt:lpstr>'Factset codes'!SALES_LTM</vt:lpstr>
      <vt:lpstr>'1'!SHAREPRICE_HIGH</vt:lpstr>
      <vt:lpstr>'2'!SHAREPRICE_HIGH</vt:lpstr>
      <vt:lpstr>'3'!SHAREPRICE_HIGH</vt:lpstr>
      <vt:lpstr>'1'!SHAREPRICE_LOW</vt:lpstr>
      <vt:lpstr>'2'!SHAREPRICE_LOW</vt:lpstr>
      <vt:lpstr>'3'!SHAREPRICE_LOW</vt:lpstr>
      <vt:lpstr>'1'!TICKER</vt:lpstr>
      <vt:lpstr>'2'!TICKER</vt:lpstr>
      <vt:lpstr>'3'!TICKER</vt:lpstr>
      <vt:lpstr>'1'!TOTAL_DEBT</vt:lpstr>
      <vt:lpstr>'2'!TOTAL_DEBT</vt:lpstr>
      <vt:lpstr>'3'!TOTAL_DEBT</vt:lpstr>
      <vt:lpstr>WACC</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Alastair Matchett</dc:creator>
  <cp:keywords/>
  <dc:description/>
  <cp:lastModifiedBy>Amgad Bashir</cp:lastModifiedBy>
  <cp:revision/>
  <dcterms:created xsi:type="dcterms:W3CDTF">2016-02-03T14:06:14Z</dcterms:created>
  <dcterms:modified xsi:type="dcterms:W3CDTF">2026-02-24T02:35:45Z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dsSearchOrder">
    <vt:i4>0</vt:i4>
  </property>
  <property fmtid="{D5CDD505-2E9C-101B-9397-08002B2CF9AE}" pid="3" name="ContentTypeId">
    <vt:lpwstr>0x0101004F002F8CDD7ACF40A6C36B1C9FA62C55</vt:lpwstr>
  </property>
  <property fmtid="{D5CDD505-2E9C-101B-9397-08002B2CF9AE}" pid="4" name="MediaServiceImageTags">
    <vt:lpwstr/>
  </property>
</Properties>
</file>